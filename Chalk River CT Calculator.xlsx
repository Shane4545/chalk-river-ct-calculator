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workbookProtection workbookPassword="C5B8" lockStructure="1"/>
  <bookViews>
    <workbookView xWindow="19845" yWindow="90" windowWidth="19440" windowHeight="12270"/>
  </bookViews>
  <sheets>
    <sheet name="User Input" sheetId="1" r:id="rId1"/>
    <sheet name="Release Notes" sheetId="6" state="hidden" r:id="rId2"/>
    <sheet name="Calculations" sheetId="5" state="hidden" r:id="rId3"/>
    <sheet name="Giardia CT" sheetId="3" state="hidden" r:id="rId4"/>
    <sheet name="Virus CT" sheetId="4" state="hidden" r:id="rId5"/>
  </sheets>
  <calcPr calcId="144525"/>
</workbook>
</file>

<file path=xl/calcChain.xml><?xml version="1.0" encoding="utf-8"?>
<calcChain xmlns="http://schemas.openxmlformats.org/spreadsheetml/2006/main">
  <c r="C16" i="5" l="1"/>
  <c r="C10" i="5"/>
  <c r="H11" i="5"/>
  <c r="I11" i="5" s="1"/>
  <c r="C8" i="5"/>
  <c r="H9" i="5"/>
  <c r="I9" i="5" s="1"/>
  <c r="D9" i="5"/>
  <c r="D16" i="5" s="1"/>
  <c r="E16" i="5" s="1"/>
  <c r="L16" i="5"/>
  <c r="M16" i="5" s="1"/>
  <c r="C9" i="5"/>
  <c r="G11" i="5"/>
  <c r="T1" i="3"/>
  <c r="L9" i="5"/>
  <c r="M9" i="5" s="1"/>
  <c r="M15" i="5" s="1"/>
  <c r="L10" i="5"/>
  <c r="L11" i="5"/>
  <c r="L8" i="5"/>
  <c r="M8" i="5" s="1"/>
  <c r="D11" i="5"/>
  <c r="U11" i="5"/>
  <c r="Q11" i="5"/>
  <c r="M11" i="5"/>
  <c r="F8" i="5"/>
  <c r="J8" i="5"/>
  <c r="K8" i="5" s="1"/>
  <c r="E6" i="4"/>
  <c r="J11" i="5"/>
  <c r="K11" i="5" s="1"/>
  <c r="J10" i="5"/>
  <c r="K10" i="5" s="1"/>
  <c r="J9" i="5"/>
  <c r="K9" i="5" s="1"/>
  <c r="K15" i="5" s="1"/>
  <c r="F10" i="5"/>
  <c r="E23" i="4"/>
  <c r="E22" i="4"/>
  <c r="I11" i="4" s="1"/>
  <c r="E21" i="4"/>
  <c r="E20" i="4"/>
  <c r="E19" i="4"/>
  <c r="E18" i="4"/>
  <c r="I10" i="4" s="1"/>
  <c r="E17" i="4"/>
  <c r="E16" i="4"/>
  <c r="E15" i="4"/>
  <c r="I9" i="4" s="1"/>
  <c r="E14" i="4"/>
  <c r="E13" i="4"/>
  <c r="E12" i="4"/>
  <c r="E11" i="4"/>
  <c r="E10" i="4"/>
  <c r="E9" i="4"/>
  <c r="E8" i="4"/>
  <c r="I7" i="4"/>
  <c r="E7" i="4"/>
  <c r="F2110" i="3"/>
  <c r="F2109" i="3"/>
  <c r="F2108" i="3"/>
  <c r="Q83" i="3" s="1"/>
  <c r="F2107" i="3"/>
  <c r="F2106" i="3"/>
  <c r="F2105" i="3"/>
  <c r="F2104" i="3"/>
  <c r="F2103" i="3"/>
  <c r="F2102" i="3"/>
  <c r="F2101" i="3"/>
  <c r="F2100" i="3"/>
  <c r="Q82" i="3" s="1"/>
  <c r="F2099" i="3"/>
  <c r="F2098" i="3"/>
  <c r="F2097" i="3"/>
  <c r="F2096" i="3"/>
  <c r="F2095" i="3"/>
  <c r="F2094" i="3"/>
  <c r="F2093" i="3"/>
  <c r="Q81" i="3" s="1"/>
  <c r="F2092" i="3"/>
  <c r="F2091" i="3"/>
  <c r="F2090" i="3"/>
  <c r="F2089" i="3"/>
  <c r="F2088" i="3"/>
  <c r="Q80" i="3" s="1"/>
  <c r="F2087" i="3"/>
  <c r="F2086" i="3"/>
  <c r="F2085" i="3"/>
  <c r="F2084" i="3"/>
  <c r="F2083" i="3"/>
  <c r="F2082" i="3"/>
  <c r="F2081" i="3"/>
  <c r="Q79" i="3" s="1"/>
  <c r="F2080" i="3"/>
  <c r="F2079" i="3"/>
  <c r="F2078" i="3"/>
  <c r="F2077" i="3"/>
  <c r="F2076" i="3"/>
  <c r="Q78" i="3" s="1"/>
  <c r="F2075" i="3"/>
  <c r="F2074" i="3"/>
  <c r="F2073" i="3"/>
  <c r="F2072" i="3"/>
  <c r="F2071" i="3"/>
  <c r="F2070" i="3"/>
  <c r="F2069" i="3"/>
  <c r="F2068" i="3"/>
  <c r="F2067" i="3"/>
  <c r="F2066" i="3"/>
  <c r="F2065" i="3"/>
  <c r="F2064" i="3"/>
  <c r="Q76" i="3" s="1"/>
  <c r="F2063" i="3"/>
  <c r="F2062" i="3"/>
  <c r="F2061" i="3"/>
  <c r="F2060" i="3"/>
  <c r="Q75" i="3" s="1"/>
  <c r="F2059" i="3"/>
  <c r="F2058" i="3"/>
  <c r="F2057" i="3"/>
  <c r="F2056" i="3"/>
  <c r="F2055" i="3"/>
  <c r="F2054" i="3"/>
  <c r="F2053" i="3"/>
  <c r="F2052" i="3"/>
  <c r="Q74" i="3" s="1"/>
  <c r="F2051" i="3"/>
  <c r="F2050" i="3"/>
  <c r="F2049" i="3"/>
  <c r="F2048" i="3"/>
  <c r="F2047" i="3"/>
  <c r="F2046" i="3"/>
  <c r="F2045" i="3"/>
  <c r="Q73" i="3" s="1"/>
  <c r="F2044" i="3"/>
  <c r="F2043" i="3"/>
  <c r="F2042" i="3"/>
  <c r="F2041" i="3"/>
  <c r="F2040" i="3"/>
  <c r="Q72" i="3" s="1"/>
  <c r="F2039" i="3"/>
  <c r="F2038" i="3"/>
  <c r="F2037" i="3"/>
  <c r="F2036" i="3"/>
  <c r="F2035" i="3"/>
  <c r="F2034" i="3"/>
  <c r="F2033" i="3"/>
  <c r="Q71" i="3" s="1"/>
  <c r="F2032" i="3"/>
  <c r="F2031" i="3"/>
  <c r="F2030" i="3"/>
  <c r="F2029" i="3"/>
  <c r="F2028" i="3"/>
  <c r="Q70" i="3" s="1"/>
  <c r="F2027" i="3"/>
  <c r="F2025" i="3"/>
  <c r="F2024" i="3"/>
  <c r="F2023" i="3"/>
  <c r="F2022" i="3"/>
  <c r="F2021" i="3"/>
  <c r="F2020" i="3"/>
  <c r="F2019" i="3"/>
  <c r="F2018" i="3"/>
  <c r="F2017" i="3"/>
  <c r="F2016" i="3"/>
  <c r="F2015" i="3"/>
  <c r="O82" i="3" s="1"/>
  <c r="F2014" i="3"/>
  <c r="F2013" i="3"/>
  <c r="F2012" i="3"/>
  <c r="F2011" i="3"/>
  <c r="O81" i="3" s="1"/>
  <c r="F2010" i="3"/>
  <c r="F2009" i="3"/>
  <c r="F2008" i="3"/>
  <c r="F2007" i="3"/>
  <c r="F2006" i="3"/>
  <c r="F2005" i="3"/>
  <c r="F2004" i="3"/>
  <c r="F2003" i="3"/>
  <c r="O80" i="3" s="1"/>
  <c r="F2002" i="3"/>
  <c r="F2001" i="3"/>
  <c r="F2000" i="3"/>
  <c r="F1999" i="3"/>
  <c r="F1998" i="3"/>
  <c r="F1997" i="3"/>
  <c r="F1996" i="3"/>
  <c r="O79" i="3" s="1"/>
  <c r="F1995" i="3"/>
  <c r="F1994" i="3"/>
  <c r="F1993" i="3"/>
  <c r="F1992" i="3"/>
  <c r="F1991" i="3"/>
  <c r="O78" i="3" s="1"/>
  <c r="F1990" i="3"/>
  <c r="F1989" i="3"/>
  <c r="F1988" i="3"/>
  <c r="F1987" i="3"/>
  <c r="F1986" i="3"/>
  <c r="F1985" i="3"/>
  <c r="F1984" i="3"/>
  <c r="O77" i="3" s="1"/>
  <c r="F1983" i="3"/>
  <c r="F1982" i="3"/>
  <c r="F1981" i="3"/>
  <c r="F1980" i="3"/>
  <c r="F1979" i="3"/>
  <c r="O76" i="3" s="1"/>
  <c r="F1978" i="3"/>
  <c r="F1977" i="3"/>
  <c r="F1976" i="3"/>
  <c r="F1975" i="3"/>
  <c r="F1974" i="3"/>
  <c r="F1973" i="3"/>
  <c r="F1972" i="3"/>
  <c r="F1971" i="3"/>
  <c r="F1970" i="3"/>
  <c r="F1969" i="3"/>
  <c r="F1968" i="3"/>
  <c r="F1967" i="3"/>
  <c r="O74" i="3" s="1"/>
  <c r="F1966" i="3"/>
  <c r="F1965" i="3"/>
  <c r="F1964" i="3"/>
  <c r="F1963" i="3"/>
  <c r="O73" i="3" s="1"/>
  <c r="F1962" i="3"/>
  <c r="F1961" i="3"/>
  <c r="F1960" i="3"/>
  <c r="F1959" i="3"/>
  <c r="F1958" i="3"/>
  <c r="F1957" i="3"/>
  <c r="F1956" i="3"/>
  <c r="F1955" i="3"/>
  <c r="O72" i="3" s="1"/>
  <c r="F1954" i="3"/>
  <c r="F1953" i="3"/>
  <c r="F1952" i="3"/>
  <c r="F1951" i="3"/>
  <c r="F1950" i="3"/>
  <c r="F1949" i="3"/>
  <c r="F1948" i="3"/>
  <c r="O71" i="3" s="1"/>
  <c r="F1947" i="3"/>
  <c r="F1946" i="3"/>
  <c r="F1945" i="3"/>
  <c r="F1944" i="3"/>
  <c r="F1943" i="3"/>
  <c r="O70" i="3" s="1"/>
  <c r="F1942" i="3"/>
  <c r="F1940" i="3"/>
  <c r="F1939" i="3"/>
  <c r="F1938" i="3"/>
  <c r="F1937" i="3"/>
  <c r="F1936" i="3"/>
  <c r="F1935" i="3"/>
  <c r="F1934" i="3"/>
  <c r="F1933" i="3"/>
  <c r="F1932" i="3"/>
  <c r="F1931" i="3"/>
  <c r="F1930" i="3"/>
  <c r="M82" i="3" s="1"/>
  <c r="F1929" i="3"/>
  <c r="F1928" i="3"/>
  <c r="F1927" i="3"/>
  <c r="F1926" i="3"/>
  <c r="F1925" i="3"/>
  <c r="F1924" i="3"/>
  <c r="F1923" i="3"/>
  <c r="F1922" i="3"/>
  <c r="F1921" i="3"/>
  <c r="F1920" i="3"/>
  <c r="F1919" i="3"/>
  <c r="F1918" i="3"/>
  <c r="M80" i="3" s="1"/>
  <c r="F1917" i="3"/>
  <c r="F1916" i="3"/>
  <c r="F1915" i="3"/>
  <c r="F1914" i="3"/>
  <c r="F1913" i="3"/>
  <c r="F1912" i="3"/>
  <c r="F1911" i="3"/>
  <c r="F1910" i="3"/>
  <c r="F1909" i="3"/>
  <c r="F1908" i="3"/>
  <c r="F1907" i="3"/>
  <c r="F1906" i="3"/>
  <c r="M78" i="3" s="1"/>
  <c r="F1905" i="3"/>
  <c r="F1904" i="3"/>
  <c r="F1903" i="3"/>
  <c r="F1902" i="3"/>
  <c r="F1901" i="3"/>
  <c r="F1900" i="3"/>
  <c r="F1899" i="3"/>
  <c r="F1898" i="3"/>
  <c r="F1897" i="3"/>
  <c r="F1896" i="3"/>
  <c r="F1895" i="3"/>
  <c r="F1894" i="3"/>
  <c r="F1893" i="3"/>
  <c r="F1892" i="3"/>
  <c r="F1891" i="3"/>
  <c r="F1890" i="3"/>
  <c r="F1889" i="3"/>
  <c r="F1888" i="3"/>
  <c r="F1887" i="3"/>
  <c r="F1886" i="3"/>
  <c r="F1885" i="3"/>
  <c r="F1884" i="3"/>
  <c r="F1883" i="3"/>
  <c r="F1882" i="3"/>
  <c r="M74" i="3" s="1"/>
  <c r="F1881" i="3"/>
  <c r="F1880" i="3"/>
  <c r="F1879" i="3"/>
  <c r="F1878" i="3"/>
  <c r="F1877" i="3"/>
  <c r="F1876" i="3"/>
  <c r="F1875" i="3"/>
  <c r="F1874" i="3"/>
  <c r="F1873" i="3"/>
  <c r="F1872" i="3"/>
  <c r="F1871" i="3"/>
  <c r="F1870" i="3"/>
  <c r="M72" i="3" s="1"/>
  <c r="F1869" i="3"/>
  <c r="F1868" i="3"/>
  <c r="F1867" i="3"/>
  <c r="F1866" i="3"/>
  <c r="F1865" i="3"/>
  <c r="F1864" i="3"/>
  <c r="F1863" i="3"/>
  <c r="F1862" i="3"/>
  <c r="F1861" i="3"/>
  <c r="F1860" i="3"/>
  <c r="F1859" i="3"/>
  <c r="F1858" i="3"/>
  <c r="M70" i="3" s="1"/>
  <c r="F1857" i="3"/>
  <c r="F1855" i="3"/>
  <c r="F1854" i="3"/>
  <c r="F1853" i="3"/>
  <c r="F1852" i="3"/>
  <c r="F1851" i="3"/>
  <c r="F1850" i="3"/>
  <c r="F1849" i="3"/>
  <c r="F1848" i="3"/>
  <c r="F1847" i="3"/>
  <c r="F1846" i="3"/>
  <c r="F1845" i="3"/>
  <c r="F1844" i="3"/>
  <c r="F1843" i="3"/>
  <c r="F1842" i="3"/>
  <c r="F1841" i="3"/>
  <c r="F1840" i="3"/>
  <c r="F1839" i="3"/>
  <c r="F1838" i="3"/>
  <c r="F1837" i="3"/>
  <c r="F1836" i="3"/>
  <c r="F1835" i="3"/>
  <c r="F1834" i="3"/>
  <c r="F1833" i="3"/>
  <c r="K80" i="3" s="1"/>
  <c r="F1832" i="3"/>
  <c r="F1831" i="3"/>
  <c r="F1830" i="3"/>
  <c r="F1829" i="3"/>
  <c r="F1828" i="3"/>
  <c r="F1827" i="3"/>
  <c r="F1826" i="3"/>
  <c r="F1825" i="3"/>
  <c r="F1824" i="3"/>
  <c r="F1823" i="3"/>
  <c r="F1822" i="3"/>
  <c r="F1821" i="3"/>
  <c r="K78" i="3" s="1"/>
  <c r="F1820" i="3"/>
  <c r="F1819" i="3"/>
  <c r="F1818" i="3"/>
  <c r="F1817" i="3"/>
  <c r="F1816" i="3"/>
  <c r="F1815" i="3"/>
  <c r="F1814" i="3"/>
  <c r="F1813" i="3"/>
  <c r="F1812" i="3"/>
  <c r="F1811" i="3"/>
  <c r="F1810" i="3"/>
  <c r="F1809" i="3"/>
  <c r="K76" i="3" s="1"/>
  <c r="F1808" i="3"/>
  <c r="F1807" i="3"/>
  <c r="F1806" i="3"/>
  <c r="F1805" i="3"/>
  <c r="F1804" i="3"/>
  <c r="F1803" i="3"/>
  <c r="F1802" i="3"/>
  <c r="F1801" i="3"/>
  <c r="F1800" i="3"/>
  <c r="F1799" i="3"/>
  <c r="F1798" i="3"/>
  <c r="F1797" i="3"/>
  <c r="F1796" i="3"/>
  <c r="F1795" i="3"/>
  <c r="F1794" i="3"/>
  <c r="F1793" i="3"/>
  <c r="F1792" i="3"/>
  <c r="F1791" i="3"/>
  <c r="F1790" i="3"/>
  <c r="F1789" i="3"/>
  <c r="F1788" i="3"/>
  <c r="F1787" i="3"/>
  <c r="F1786" i="3"/>
  <c r="F1785" i="3"/>
  <c r="K72" i="3" s="1"/>
  <c r="F1784" i="3"/>
  <c r="F1783" i="3"/>
  <c r="F1782" i="3"/>
  <c r="F1781" i="3"/>
  <c r="F1780" i="3"/>
  <c r="F1779" i="3"/>
  <c r="F1778" i="3"/>
  <c r="F1777" i="3"/>
  <c r="F1776" i="3"/>
  <c r="F1775" i="3"/>
  <c r="F1774" i="3"/>
  <c r="F1773" i="3"/>
  <c r="K70" i="3" s="1"/>
  <c r="F1772" i="3"/>
  <c r="F1770" i="3"/>
  <c r="F1769" i="3"/>
  <c r="F1768" i="3"/>
  <c r="F1767" i="3"/>
  <c r="F1766" i="3"/>
  <c r="F1765" i="3"/>
  <c r="I83" i="3" s="1"/>
  <c r="F1764" i="3"/>
  <c r="F1763" i="3"/>
  <c r="F1762" i="3"/>
  <c r="F1761" i="3"/>
  <c r="F1760" i="3"/>
  <c r="I82" i="3" s="1"/>
  <c r="F1759" i="3"/>
  <c r="F1758" i="3"/>
  <c r="F1757" i="3"/>
  <c r="F1756" i="3"/>
  <c r="F1755" i="3"/>
  <c r="F1754" i="3"/>
  <c r="F1753" i="3"/>
  <c r="F1752" i="3"/>
  <c r="F1751" i="3"/>
  <c r="F1750" i="3"/>
  <c r="F1749" i="3"/>
  <c r="F1748" i="3"/>
  <c r="I80" i="3" s="1"/>
  <c r="F1747" i="3"/>
  <c r="F1746" i="3"/>
  <c r="F1745" i="3"/>
  <c r="F1744" i="3"/>
  <c r="I79" i="3" s="1"/>
  <c r="F1743" i="3"/>
  <c r="F1742" i="3"/>
  <c r="F1741" i="3"/>
  <c r="F1740" i="3"/>
  <c r="F1739" i="3"/>
  <c r="F1738" i="3"/>
  <c r="F1737" i="3"/>
  <c r="F1736" i="3"/>
  <c r="I78" i="3" s="1"/>
  <c r="F1735" i="3"/>
  <c r="F1734" i="3"/>
  <c r="F1733" i="3"/>
  <c r="F1732" i="3"/>
  <c r="F1731" i="3"/>
  <c r="F1730" i="3"/>
  <c r="F1729" i="3"/>
  <c r="I77" i="3" s="1"/>
  <c r="F1728" i="3"/>
  <c r="F1727" i="3"/>
  <c r="F1726" i="3"/>
  <c r="F1725" i="3"/>
  <c r="F1724" i="3"/>
  <c r="I76" i="3" s="1"/>
  <c r="F1723" i="3"/>
  <c r="F1722" i="3"/>
  <c r="F1721" i="3"/>
  <c r="F1720" i="3"/>
  <c r="F1719" i="3"/>
  <c r="F1718" i="3"/>
  <c r="F1717" i="3"/>
  <c r="I75" i="3" s="1"/>
  <c r="F1716" i="3"/>
  <c r="F1715" i="3"/>
  <c r="F1714" i="3"/>
  <c r="F1713" i="3"/>
  <c r="F1712" i="3"/>
  <c r="I74" i="3" s="1"/>
  <c r="F1711" i="3"/>
  <c r="F1710" i="3"/>
  <c r="F1709" i="3"/>
  <c r="F1708" i="3"/>
  <c r="F1707" i="3"/>
  <c r="F1706" i="3"/>
  <c r="F1705" i="3"/>
  <c r="F1704" i="3"/>
  <c r="F1703" i="3"/>
  <c r="F1702" i="3"/>
  <c r="F1701" i="3"/>
  <c r="F1700" i="3"/>
  <c r="I72" i="3" s="1"/>
  <c r="F1699" i="3"/>
  <c r="F1698" i="3"/>
  <c r="F1697" i="3"/>
  <c r="F1696" i="3"/>
  <c r="I71" i="3" s="1"/>
  <c r="F1695" i="3"/>
  <c r="F1694" i="3"/>
  <c r="F1693" i="3"/>
  <c r="F1692" i="3"/>
  <c r="F1691" i="3"/>
  <c r="F1690" i="3"/>
  <c r="F1689" i="3"/>
  <c r="F1688" i="3"/>
  <c r="I70" i="3" s="1"/>
  <c r="F1687" i="3"/>
  <c r="F1684" i="3"/>
  <c r="F1683" i="3"/>
  <c r="F1682" i="3"/>
  <c r="F1681" i="3"/>
  <c r="F1680" i="3"/>
  <c r="F1679" i="3"/>
  <c r="F1678" i="3"/>
  <c r="F1677" i="3"/>
  <c r="F1676" i="3"/>
  <c r="F1675" i="3"/>
  <c r="F1674" i="3"/>
  <c r="Q66" i="3" s="1"/>
  <c r="F1673" i="3"/>
  <c r="F1672" i="3"/>
  <c r="F1671" i="3"/>
  <c r="F1670" i="3"/>
  <c r="F1669" i="3"/>
  <c r="F1668" i="3"/>
  <c r="F1667" i="3"/>
  <c r="F1666" i="3"/>
  <c r="F1665" i="3"/>
  <c r="F1664" i="3"/>
  <c r="F1663" i="3"/>
  <c r="F1662" i="3"/>
  <c r="F1661" i="3"/>
  <c r="F1660" i="3"/>
  <c r="F1659" i="3"/>
  <c r="F1658" i="3"/>
  <c r="F1657" i="3"/>
  <c r="F1656" i="3"/>
  <c r="F1655" i="3"/>
  <c r="F1654" i="3"/>
  <c r="F1653" i="3"/>
  <c r="F1652" i="3"/>
  <c r="F1651" i="3"/>
  <c r="F1650" i="3"/>
  <c r="Q62" i="3" s="1"/>
  <c r="F1649" i="3"/>
  <c r="F1648" i="3"/>
  <c r="F1647" i="3"/>
  <c r="F1646" i="3"/>
  <c r="F1645" i="3"/>
  <c r="F1644" i="3"/>
  <c r="F1643" i="3"/>
  <c r="F1642" i="3"/>
  <c r="F1641" i="3"/>
  <c r="F1640" i="3"/>
  <c r="F1639" i="3"/>
  <c r="F1638" i="3"/>
  <c r="Q60" i="3" s="1"/>
  <c r="F1637" i="3"/>
  <c r="F1636" i="3"/>
  <c r="F1635" i="3"/>
  <c r="F1634" i="3"/>
  <c r="F1633" i="3"/>
  <c r="F1632" i="3"/>
  <c r="F1631" i="3"/>
  <c r="F1630" i="3"/>
  <c r="F1629" i="3"/>
  <c r="F1628" i="3"/>
  <c r="F1627" i="3"/>
  <c r="F1626" i="3"/>
  <c r="Q58" i="3" s="1"/>
  <c r="F1625" i="3"/>
  <c r="F1624" i="3"/>
  <c r="F1623" i="3"/>
  <c r="F1622" i="3"/>
  <c r="F1621" i="3"/>
  <c r="F1620" i="3"/>
  <c r="F1619" i="3"/>
  <c r="F1618" i="3"/>
  <c r="F1617" i="3"/>
  <c r="F1616" i="3"/>
  <c r="F1615" i="3"/>
  <c r="F1614" i="3"/>
  <c r="F1613" i="3"/>
  <c r="F1612" i="3"/>
  <c r="F1611" i="3"/>
  <c r="F1610" i="3"/>
  <c r="F1609" i="3"/>
  <c r="F1608" i="3"/>
  <c r="F1607" i="3"/>
  <c r="F1606" i="3"/>
  <c r="F1605" i="3"/>
  <c r="F1604" i="3"/>
  <c r="F1603" i="3"/>
  <c r="F1602" i="3"/>
  <c r="Q54" i="3" s="1"/>
  <c r="F1601" i="3"/>
  <c r="F1600" i="3"/>
  <c r="F1599" i="3"/>
  <c r="F1598" i="3"/>
  <c r="F1597" i="3"/>
  <c r="F1596" i="3"/>
  <c r="F1595" i="3"/>
  <c r="Q51" i="3" s="1"/>
  <c r="F1594" i="3"/>
  <c r="F1593" i="3"/>
  <c r="F1592" i="3"/>
  <c r="F1591" i="3"/>
  <c r="F1590" i="3"/>
  <c r="Q50" i="3" s="1"/>
  <c r="F1589" i="3"/>
  <c r="F1588" i="3"/>
  <c r="F1587" i="3"/>
  <c r="F1586" i="3"/>
  <c r="F1585" i="3"/>
  <c r="F1584" i="3"/>
  <c r="F1583" i="3"/>
  <c r="F1582" i="3"/>
  <c r="F1581" i="3"/>
  <c r="F1580" i="3"/>
  <c r="F1579" i="3"/>
  <c r="F1578" i="3"/>
  <c r="Q48" i="3" s="1"/>
  <c r="F1577" i="3"/>
  <c r="F1576" i="3"/>
  <c r="F1575" i="3"/>
  <c r="F1574" i="3"/>
  <c r="Q47" i="3" s="1"/>
  <c r="F1573" i="3"/>
  <c r="F1572" i="3"/>
  <c r="F1571" i="3"/>
  <c r="F1570" i="3"/>
  <c r="F1569" i="3"/>
  <c r="F1568" i="3"/>
  <c r="F1567" i="3"/>
  <c r="F1566" i="3"/>
  <c r="Q46" i="3" s="1"/>
  <c r="F1565" i="3"/>
  <c r="F1564" i="3"/>
  <c r="F1563" i="3"/>
  <c r="F1562" i="3"/>
  <c r="F1561" i="3"/>
  <c r="F1560" i="3"/>
  <c r="F1559" i="3"/>
  <c r="Q45" i="3" s="1"/>
  <c r="F1558" i="3"/>
  <c r="F1557" i="3"/>
  <c r="F1556" i="3"/>
  <c r="F1555" i="3"/>
  <c r="F1554" i="3"/>
  <c r="Q44" i="3" s="1"/>
  <c r="F1553" i="3"/>
  <c r="F1552" i="3"/>
  <c r="F1551" i="3"/>
  <c r="F1550" i="3"/>
  <c r="F1549" i="3"/>
  <c r="F1548" i="3"/>
  <c r="F1547" i="3"/>
  <c r="Q43" i="3" s="1"/>
  <c r="F1546" i="3"/>
  <c r="F1545" i="3"/>
  <c r="F1544" i="3"/>
  <c r="F1543" i="3"/>
  <c r="F1542" i="3"/>
  <c r="Q42" i="3" s="1"/>
  <c r="F1541" i="3"/>
  <c r="F1540" i="3"/>
  <c r="F1539" i="3"/>
  <c r="F1538" i="3"/>
  <c r="F1537" i="3"/>
  <c r="F1536" i="3"/>
  <c r="F1535" i="3"/>
  <c r="F1534" i="3"/>
  <c r="F1533" i="3"/>
  <c r="F1532" i="3"/>
  <c r="F1531" i="3"/>
  <c r="F1530" i="3"/>
  <c r="Q40" i="3" s="1"/>
  <c r="F1529" i="3"/>
  <c r="F1528" i="3"/>
  <c r="F1527" i="3"/>
  <c r="F1526" i="3"/>
  <c r="Q39" i="3" s="1"/>
  <c r="F1525" i="3"/>
  <c r="F1524" i="3"/>
  <c r="F1523" i="3"/>
  <c r="F1522" i="3"/>
  <c r="F1521" i="3"/>
  <c r="F1520" i="3"/>
  <c r="F1519" i="3"/>
  <c r="F1518" i="3"/>
  <c r="Q38" i="3" s="1"/>
  <c r="F1517" i="3"/>
  <c r="F1516" i="3"/>
  <c r="F1515" i="3"/>
  <c r="F1514" i="3"/>
  <c r="F1513" i="3"/>
  <c r="F1512" i="3"/>
  <c r="F1511" i="3"/>
  <c r="F1510" i="3"/>
  <c r="F1509" i="3"/>
  <c r="F1508" i="3"/>
  <c r="F1507" i="3"/>
  <c r="F1506" i="3"/>
  <c r="Q34" i="3" s="1"/>
  <c r="F1505" i="3"/>
  <c r="F1504" i="3"/>
  <c r="F1503" i="3"/>
  <c r="F1502" i="3"/>
  <c r="F1501" i="3"/>
  <c r="F1500" i="3"/>
  <c r="F1499" i="3"/>
  <c r="F1498" i="3"/>
  <c r="F1497" i="3"/>
  <c r="F1496" i="3"/>
  <c r="F1495" i="3"/>
  <c r="F1494" i="3"/>
  <c r="Q32" i="3" s="1"/>
  <c r="F1493" i="3"/>
  <c r="F1492" i="3"/>
  <c r="F1491" i="3"/>
  <c r="F1490" i="3"/>
  <c r="F1489" i="3"/>
  <c r="F1488" i="3"/>
  <c r="F1487" i="3"/>
  <c r="F1486" i="3"/>
  <c r="F1485" i="3"/>
  <c r="F1484" i="3"/>
  <c r="F1483" i="3"/>
  <c r="F1482" i="3"/>
  <c r="Q30" i="3" s="1"/>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Q26" i="3" s="1"/>
  <c r="F1457" i="3"/>
  <c r="F1456" i="3"/>
  <c r="F1455" i="3"/>
  <c r="F1454" i="3"/>
  <c r="F1453" i="3"/>
  <c r="F1452" i="3"/>
  <c r="F1451" i="3"/>
  <c r="F1450" i="3"/>
  <c r="F1449" i="3"/>
  <c r="F1448" i="3"/>
  <c r="F1447" i="3"/>
  <c r="F1446" i="3"/>
  <c r="F1445" i="3"/>
  <c r="F1444" i="3"/>
  <c r="F1443" i="3"/>
  <c r="F1442" i="3"/>
  <c r="F1441" i="3"/>
  <c r="F1440" i="3"/>
  <c r="F1439" i="3"/>
  <c r="F1438" i="3"/>
  <c r="F1437" i="3"/>
  <c r="F1436" i="3"/>
  <c r="F1435" i="3"/>
  <c r="F1434" i="3"/>
  <c r="Q22" i="3" s="1"/>
  <c r="F1433" i="3"/>
  <c r="F1432" i="3"/>
  <c r="F1431" i="3"/>
  <c r="F1430" i="3"/>
  <c r="F1429" i="3"/>
  <c r="F1428" i="3"/>
  <c r="F1427" i="3"/>
  <c r="Q19" i="3" s="1"/>
  <c r="F1426" i="3"/>
  <c r="F1425" i="3"/>
  <c r="F1424" i="3"/>
  <c r="F1423" i="3"/>
  <c r="F1422" i="3"/>
  <c r="F1421" i="3"/>
  <c r="F1420" i="3"/>
  <c r="F1419" i="3"/>
  <c r="F1418" i="3"/>
  <c r="F1417" i="3"/>
  <c r="F1416" i="3"/>
  <c r="F1415" i="3"/>
  <c r="Q17" i="3" s="1"/>
  <c r="F1414" i="3"/>
  <c r="F1413" i="3"/>
  <c r="F1412" i="3"/>
  <c r="F1411" i="3"/>
  <c r="F1410" i="3"/>
  <c r="F1409" i="3"/>
  <c r="F1408" i="3"/>
  <c r="F1407" i="3"/>
  <c r="F1406" i="3"/>
  <c r="F1405" i="3"/>
  <c r="F1404" i="3"/>
  <c r="F1403" i="3"/>
  <c r="Q15" i="3" s="1"/>
  <c r="F1402" i="3"/>
  <c r="F1401" i="3"/>
  <c r="F1400" i="3"/>
  <c r="F1399" i="3"/>
  <c r="F1398" i="3"/>
  <c r="F1397" i="3"/>
  <c r="F1396" i="3"/>
  <c r="F1395" i="3"/>
  <c r="F1394" i="3"/>
  <c r="F1393" i="3"/>
  <c r="F1392" i="3"/>
  <c r="F1391" i="3"/>
  <c r="Q13" i="3" s="1"/>
  <c r="F1390" i="3"/>
  <c r="F1389" i="3"/>
  <c r="F1388" i="3"/>
  <c r="F1387" i="3"/>
  <c r="F1386" i="3"/>
  <c r="F1385" i="3"/>
  <c r="F1384" i="3"/>
  <c r="F1383" i="3"/>
  <c r="F1382" i="3"/>
  <c r="F1381" i="3"/>
  <c r="F1380" i="3"/>
  <c r="F1379" i="3"/>
  <c r="Q11" i="3" s="1"/>
  <c r="F1378" i="3"/>
  <c r="F1377" i="3"/>
  <c r="F1376" i="3"/>
  <c r="F1375" i="3"/>
  <c r="F1374" i="3"/>
  <c r="F1373" i="3"/>
  <c r="F1372" i="3"/>
  <c r="F1371" i="3"/>
  <c r="F1370" i="3"/>
  <c r="F1369" i="3"/>
  <c r="F1368" i="3"/>
  <c r="F1367" i="3"/>
  <c r="Q9" i="3" s="1"/>
  <c r="F1366" i="3"/>
  <c r="F1365" i="3"/>
  <c r="F1364" i="3"/>
  <c r="F1363" i="3"/>
  <c r="F1362" i="3"/>
  <c r="F1361" i="3"/>
  <c r="F1360" i="3"/>
  <c r="F1359" i="3"/>
  <c r="F1358" i="3"/>
  <c r="F1357" i="3"/>
  <c r="F1356" i="3"/>
  <c r="F1355" i="3"/>
  <c r="Q7" i="3" s="1"/>
  <c r="F1354" i="3"/>
  <c r="F1353" i="3"/>
  <c r="F1352" i="3"/>
  <c r="F1351" i="3"/>
  <c r="F1350" i="3"/>
  <c r="F1349" i="3"/>
  <c r="F1348" i="3"/>
  <c r="F1347" i="3"/>
  <c r="F1346" i="3"/>
  <c r="F1345" i="3"/>
  <c r="F1344" i="3"/>
  <c r="F1343" i="3"/>
  <c r="F1342" i="3"/>
  <c r="F1341" i="3"/>
  <c r="F1340" i="3"/>
  <c r="F1339" i="3"/>
  <c r="F1338" i="3"/>
  <c r="O66" i="3" s="1"/>
  <c r="F1337" i="3"/>
  <c r="F1336" i="3"/>
  <c r="F1335" i="3"/>
  <c r="F1334" i="3"/>
  <c r="F1333" i="3"/>
  <c r="F1332" i="3"/>
  <c r="F1331" i="3"/>
  <c r="F1330" i="3"/>
  <c r="F1329" i="3"/>
  <c r="F1328" i="3"/>
  <c r="F1327" i="3"/>
  <c r="F1326" i="3"/>
  <c r="O64" i="3" s="1"/>
  <c r="F1325" i="3"/>
  <c r="F1324" i="3"/>
  <c r="F1323" i="3"/>
  <c r="F1322" i="3"/>
  <c r="F1321" i="3"/>
  <c r="F1320" i="3"/>
  <c r="F1319" i="3"/>
  <c r="F1318" i="3"/>
  <c r="F1317" i="3"/>
  <c r="F1316" i="3"/>
  <c r="F1315" i="3"/>
  <c r="F1314" i="3"/>
  <c r="F1313" i="3"/>
  <c r="F1312" i="3"/>
  <c r="F1311" i="3"/>
  <c r="F1310" i="3"/>
  <c r="F1309" i="3"/>
  <c r="F1308" i="3"/>
  <c r="F1307" i="3"/>
  <c r="F1306" i="3"/>
  <c r="F1305" i="3"/>
  <c r="F1304" i="3"/>
  <c r="F1303" i="3"/>
  <c r="F1302" i="3"/>
  <c r="O60" i="3" s="1"/>
  <c r="F1301" i="3"/>
  <c r="F1300" i="3"/>
  <c r="F1299" i="3"/>
  <c r="F1298" i="3"/>
  <c r="F1297" i="3"/>
  <c r="F1296" i="3"/>
  <c r="F1295" i="3"/>
  <c r="F1294" i="3"/>
  <c r="F1293" i="3"/>
  <c r="F1292" i="3"/>
  <c r="F1291" i="3"/>
  <c r="F1290" i="3"/>
  <c r="O58" i="3" s="1"/>
  <c r="F1289" i="3"/>
  <c r="F1288" i="3"/>
  <c r="F1287" i="3"/>
  <c r="F1286" i="3"/>
  <c r="F1285" i="3"/>
  <c r="F1284" i="3"/>
  <c r="F1283" i="3"/>
  <c r="F1282" i="3"/>
  <c r="F1281" i="3"/>
  <c r="F1280" i="3"/>
  <c r="F1279" i="3"/>
  <c r="F1278" i="3"/>
  <c r="O56" i="3" s="1"/>
  <c r="F1277" i="3"/>
  <c r="F1276" i="3"/>
  <c r="F1275" i="3"/>
  <c r="F1274" i="3"/>
  <c r="F1273" i="3"/>
  <c r="F1272" i="3"/>
  <c r="F1271" i="3"/>
  <c r="F1270" i="3"/>
  <c r="F1269" i="3"/>
  <c r="F1268" i="3"/>
  <c r="F1267" i="3"/>
  <c r="F1266" i="3"/>
  <c r="F1265" i="3"/>
  <c r="F1264" i="3"/>
  <c r="F1263" i="3"/>
  <c r="F1262" i="3"/>
  <c r="F1261" i="3"/>
  <c r="F1260" i="3"/>
  <c r="F1259" i="3"/>
  <c r="O51" i="3" s="1"/>
  <c r="F1258" i="3"/>
  <c r="F1257" i="3"/>
  <c r="F1256" i="3"/>
  <c r="F1255" i="3"/>
  <c r="F1254" i="3"/>
  <c r="O50" i="3" s="1"/>
  <c r="F1253" i="3"/>
  <c r="F1252" i="3"/>
  <c r="F1251" i="3"/>
  <c r="F1250" i="3"/>
  <c r="F1249" i="3"/>
  <c r="F1248" i="3"/>
  <c r="F1247" i="3"/>
  <c r="O49" i="3" s="1"/>
  <c r="F1246" i="3"/>
  <c r="F1245" i="3"/>
  <c r="F1244" i="3"/>
  <c r="F1243" i="3"/>
  <c r="F1242" i="3"/>
  <c r="O48" i="3" s="1"/>
  <c r="F1241" i="3"/>
  <c r="F1240" i="3"/>
  <c r="F1239" i="3"/>
  <c r="F1238" i="3"/>
  <c r="F1237" i="3"/>
  <c r="F1236" i="3"/>
  <c r="F1235" i="3"/>
  <c r="F1234" i="3"/>
  <c r="F1233" i="3"/>
  <c r="F1232" i="3"/>
  <c r="F1231" i="3"/>
  <c r="F1230" i="3"/>
  <c r="O46" i="3" s="1"/>
  <c r="F1229" i="3"/>
  <c r="F1228" i="3"/>
  <c r="F1227" i="3"/>
  <c r="F1226" i="3"/>
  <c r="O45" i="3" s="1"/>
  <c r="F1225" i="3"/>
  <c r="F1224" i="3"/>
  <c r="F1223" i="3"/>
  <c r="F1222" i="3"/>
  <c r="F1221" i="3"/>
  <c r="F1220" i="3"/>
  <c r="F1219" i="3"/>
  <c r="F1218" i="3"/>
  <c r="O44" i="3" s="1"/>
  <c r="F1217" i="3"/>
  <c r="F1216" i="3"/>
  <c r="F1215" i="3"/>
  <c r="F1214" i="3"/>
  <c r="F1213" i="3"/>
  <c r="F1212" i="3"/>
  <c r="F1211" i="3"/>
  <c r="O43" i="3" s="1"/>
  <c r="F1210" i="3"/>
  <c r="F1209" i="3"/>
  <c r="F1208" i="3"/>
  <c r="F1207" i="3"/>
  <c r="F1206" i="3"/>
  <c r="O42" i="3" s="1"/>
  <c r="F1205" i="3"/>
  <c r="F1204" i="3"/>
  <c r="F1203" i="3"/>
  <c r="F1202" i="3"/>
  <c r="F1201" i="3"/>
  <c r="F1200" i="3"/>
  <c r="F1199" i="3"/>
  <c r="O41" i="3" s="1"/>
  <c r="F1198" i="3"/>
  <c r="F1197" i="3"/>
  <c r="F1196" i="3"/>
  <c r="F1195" i="3"/>
  <c r="F1194" i="3"/>
  <c r="O40" i="3" s="1"/>
  <c r="F1193" i="3"/>
  <c r="F1192" i="3"/>
  <c r="F1191" i="3"/>
  <c r="F1190" i="3"/>
  <c r="F1189" i="3"/>
  <c r="F1188" i="3"/>
  <c r="F1187" i="3"/>
  <c r="F1186" i="3"/>
  <c r="F1185" i="3"/>
  <c r="F1184" i="3"/>
  <c r="F1183" i="3"/>
  <c r="F1182" i="3"/>
  <c r="O38" i="3" s="1"/>
  <c r="F1181" i="3"/>
  <c r="F1180" i="3"/>
  <c r="F1179" i="3"/>
  <c r="F1178" i="3"/>
  <c r="F1177" i="3"/>
  <c r="F1176" i="3"/>
  <c r="F1175" i="3"/>
  <c r="F1174" i="3"/>
  <c r="F1173" i="3"/>
  <c r="F1172" i="3"/>
  <c r="F1171" i="3"/>
  <c r="F1170" i="3"/>
  <c r="F1169" i="3"/>
  <c r="F1168" i="3"/>
  <c r="F1167" i="3"/>
  <c r="F1166" i="3"/>
  <c r="F1165" i="3"/>
  <c r="F1164" i="3"/>
  <c r="F1163" i="3"/>
  <c r="F1162" i="3"/>
  <c r="F1161" i="3"/>
  <c r="F1160" i="3"/>
  <c r="F1159" i="3"/>
  <c r="F1158" i="3"/>
  <c r="O32" i="3" s="1"/>
  <c r="F1157" i="3"/>
  <c r="F1156" i="3"/>
  <c r="F1155" i="3"/>
  <c r="F1154" i="3"/>
  <c r="F1153" i="3"/>
  <c r="F1152" i="3"/>
  <c r="F1151" i="3"/>
  <c r="F1150" i="3"/>
  <c r="F1149" i="3"/>
  <c r="F1148" i="3"/>
  <c r="F1147" i="3"/>
  <c r="F1146" i="3"/>
  <c r="O30" i="3" s="1"/>
  <c r="F1145" i="3"/>
  <c r="F1144" i="3"/>
  <c r="F1143" i="3"/>
  <c r="F1142" i="3"/>
  <c r="F1141" i="3"/>
  <c r="F1140" i="3"/>
  <c r="F1139" i="3"/>
  <c r="F1138" i="3"/>
  <c r="F1137" i="3"/>
  <c r="F1136" i="3"/>
  <c r="F1135" i="3"/>
  <c r="F1134" i="3"/>
  <c r="O28" i="3" s="1"/>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O24" i="3" s="1"/>
  <c r="F1109" i="3"/>
  <c r="F1108" i="3"/>
  <c r="F1107" i="3"/>
  <c r="F1106" i="3"/>
  <c r="F1105" i="3"/>
  <c r="F1104" i="3"/>
  <c r="F1103" i="3"/>
  <c r="O23" i="3" s="1"/>
  <c r="F1102" i="3"/>
  <c r="F1101" i="3"/>
  <c r="F1100" i="3"/>
  <c r="F1099" i="3"/>
  <c r="F1098" i="3"/>
  <c r="O22" i="3" s="1"/>
  <c r="F1097" i="3"/>
  <c r="F1096" i="3"/>
  <c r="F1095" i="3"/>
  <c r="F1094" i="3"/>
  <c r="O19" i="3" s="1"/>
  <c r="F1093" i="3"/>
  <c r="F1092" i="3"/>
  <c r="F1091" i="3"/>
  <c r="F1090" i="3"/>
  <c r="F1089" i="3"/>
  <c r="F1088" i="3"/>
  <c r="F1087" i="3"/>
  <c r="F1086" i="3"/>
  <c r="O18" i="3" s="1"/>
  <c r="F1085" i="3"/>
  <c r="F1084" i="3"/>
  <c r="F1083" i="3"/>
  <c r="F1082" i="3"/>
  <c r="O17" i="3" s="1"/>
  <c r="F1081" i="3"/>
  <c r="F1080" i="3"/>
  <c r="F1079" i="3"/>
  <c r="F1078" i="3"/>
  <c r="F1077" i="3"/>
  <c r="F1076" i="3"/>
  <c r="F1075" i="3"/>
  <c r="F1074" i="3"/>
  <c r="O16" i="3" s="1"/>
  <c r="F1073" i="3"/>
  <c r="F1072" i="3"/>
  <c r="F1071" i="3"/>
  <c r="F1070" i="3"/>
  <c r="O15" i="3" s="1"/>
  <c r="F1069" i="3"/>
  <c r="F1068" i="3"/>
  <c r="F1067" i="3"/>
  <c r="F1066" i="3"/>
  <c r="F1065" i="3"/>
  <c r="F1064" i="3"/>
  <c r="F1063" i="3"/>
  <c r="F1062" i="3"/>
  <c r="O14" i="3" s="1"/>
  <c r="F1061" i="3"/>
  <c r="F1060" i="3"/>
  <c r="F1059" i="3"/>
  <c r="F1058" i="3"/>
  <c r="O13" i="3" s="1"/>
  <c r="F1057" i="3"/>
  <c r="F1056" i="3"/>
  <c r="F1055" i="3"/>
  <c r="F1054" i="3"/>
  <c r="F1053" i="3"/>
  <c r="F1052" i="3"/>
  <c r="F1051" i="3"/>
  <c r="F1050" i="3"/>
  <c r="O12" i="3" s="1"/>
  <c r="F1049" i="3"/>
  <c r="F1048" i="3"/>
  <c r="F1047" i="3"/>
  <c r="F1046" i="3"/>
  <c r="O11" i="3" s="1"/>
  <c r="F1045" i="3"/>
  <c r="F1044" i="3"/>
  <c r="F1043" i="3"/>
  <c r="F1042" i="3"/>
  <c r="F1041" i="3"/>
  <c r="F1040" i="3"/>
  <c r="F1039" i="3"/>
  <c r="F1038" i="3"/>
  <c r="O10" i="3" s="1"/>
  <c r="F1037" i="3"/>
  <c r="F1036" i="3"/>
  <c r="F1035" i="3"/>
  <c r="F1034" i="3"/>
  <c r="O9" i="3" s="1"/>
  <c r="F1033" i="3"/>
  <c r="F1032" i="3"/>
  <c r="F1031" i="3"/>
  <c r="F1030" i="3"/>
  <c r="F1029" i="3"/>
  <c r="F1028" i="3"/>
  <c r="F1027" i="3"/>
  <c r="F1026" i="3"/>
  <c r="O8" i="3" s="1"/>
  <c r="F1025" i="3"/>
  <c r="F1024" i="3"/>
  <c r="F1023" i="3"/>
  <c r="F1022" i="3"/>
  <c r="O7" i="3" s="1"/>
  <c r="F1021" i="3"/>
  <c r="F1020" i="3"/>
  <c r="F1019" i="3"/>
  <c r="F1018" i="3"/>
  <c r="F1017" i="3"/>
  <c r="F1016" i="3"/>
  <c r="F1015" i="3"/>
  <c r="F1014" i="3"/>
  <c r="O6" i="3" s="1"/>
  <c r="F1013" i="3"/>
  <c r="F1012" i="3"/>
  <c r="F1011" i="3"/>
  <c r="F1010" i="3"/>
  <c r="F1009" i="3"/>
  <c r="F1008" i="3"/>
  <c r="F1007" i="3"/>
  <c r="M67" i="3" s="1"/>
  <c r="F1006" i="3"/>
  <c r="F1005" i="3"/>
  <c r="F1004" i="3"/>
  <c r="F1003" i="3"/>
  <c r="F1002" i="3"/>
  <c r="M66" i="3" s="1"/>
  <c r="F1001" i="3"/>
  <c r="F1000" i="3"/>
  <c r="F999" i="3"/>
  <c r="F998" i="3"/>
  <c r="F997" i="3"/>
  <c r="F996" i="3"/>
  <c r="F995" i="3"/>
  <c r="M65" i="3" s="1"/>
  <c r="F994" i="3"/>
  <c r="F993" i="3"/>
  <c r="F992" i="3"/>
  <c r="F991" i="3"/>
  <c r="F990" i="3"/>
  <c r="M64" i="3" s="1"/>
  <c r="F989" i="3"/>
  <c r="F988" i="3"/>
  <c r="F987" i="3"/>
  <c r="F986" i="3"/>
  <c r="F985" i="3"/>
  <c r="F984" i="3"/>
  <c r="F983" i="3"/>
  <c r="F982" i="3"/>
  <c r="F981" i="3"/>
  <c r="F980" i="3"/>
  <c r="F979" i="3"/>
  <c r="F978" i="3"/>
  <c r="M62" i="3" s="1"/>
  <c r="F977" i="3"/>
  <c r="F976" i="3"/>
  <c r="F975" i="3"/>
  <c r="F974" i="3"/>
  <c r="M61" i="3" s="1"/>
  <c r="F973" i="3"/>
  <c r="F972" i="3"/>
  <c r="F971" i="3"/>
  <c r="F970" i="3"/>
  <c r="F969" i="3"/>
  <c r="F968" i="3"/>
  <c r="F967" i="3"/>
  <c r="F966" i="3"/>
  <c r="M60" i="3" s="1"/>
  <c r="F965" i="3"/>
  <c r="F964" i="3"/>
  <c r="F963" i="3"/>
  <c r="F962" i="3"/>
  <c r="F961" i="3"/>
  <c r="F960" i="3"/>
  <c r="F959" i="3"/>
  <c r="M59" i="3" s="1"/>
  <c r="F958" i="3"/>
  <c r="F957" i="3"/>
  <c r="F956" i="3"/>
  <c r="F955" i="3"/>
  <c r="F954" i="3"/>
  <c r="M58" i="3" s="1"/>
  <c r="F953" i="3"/>
  <c r="F952" i="3"/>
  <c r="F951" i="3"/>
  <c r="F950" i="3"/>
  <c r="F949" i="3"/>
  <c r="F948" i="3"/>
  <c r="F947" i="3"/>
  <c r="M57" i="3" s="1"/>
  <c r="F946" i="3"/>
  <c r="F945" i="3"/>
  <c r="F944" i="3"/>
  <c r="F943" i="3"/>
  <c r="F942" i="3"/>
  <c r="M56" i="3" s="1"/>
  <c r="F941" i="3"/>
  <c r="F940" i="3"/>
  <c r="F939" i="3"/>
  <c r="F938" i="3"/>
  <c r="F937" i="3"/>
  <c r="F936" i="3"/>
  <c r="F935" i="3"/>
  <c r="F934" i="3"/>
  <c r="F933" i="3"/>
  <c r="F932" i="3"/>
  <c r="F931" i="3"/>
  <c r="F930" i="3"/>
  <c r="M54" i="3" s="1"/>
  <c r="F929" i="3"/>
  <c r="F928" i="3"/>
  <c r="F927" i="3"/>
  <c r="F926" i="3"/>
  <c r="F925" i="3"/>
  <c r="F924" i="3"/>
  <c r="F923" i="3"/>
  <c r="F922" i="3"/>
  <c r="F921" i="3"/>
  <c r="F920" i="3"/>
  <c r="F919" i="3"/>
  <c r="F918" i="3"/>
  <c r="M50" i="3" s="1"/>
  <c r="F917" i="3"/>
  <c r="F916" i="3"/>
  <c r="F915" i="3"/>
  <c r="F914" i="3"/>
  <c r="F913" i="3"/>
  <c r="F912" i="3"/>
  <c r="F911" i="3"/>
  <c r="F910" i="3"/>
  <c r="F909" i="3"/>
  <c r="F908" i="3"/>
  <c r="F907" i="3"/>
  <c r="F906" i="3"/>
  <c r="F905" i="3"/>
  <c r="F904" i="3"/>
  <c r="F903" i="3"/>
  <c r="F902" i="3"/>
  <c r="F901" i="3"/>
  <c r="F900" i="3"/>
  <c r="F899" i="3"/>
  <c r="F898" i="3"/>
  <c r="F897" i="3"/>
  <c r="F896" i="3"/>
  <c r="F895" i="3"/>
  <c r="F894" i="3"/>
  <c r="M46" i="3" s="1"/>
  <c r="F893" i="3"/>
  <c r="F892" i="3"/>
  <c r="F891" i="3"/>
  <c r="F890" i="3"/>
  <c r="F889" i="3"/>
  <c r="F888" i="3"/>
  <c r="F887" i="3"/>
  <c r="F886" i="3"/>
  <c r="F885" i="3"/>
  <c r="F884" i="3"/>
  <c r="F883" i="3"/>
  <c r="F882" i="3"/>
  <c r="M44" i="3" s="1"/>
  <c r="F881" i="3"/>
  <c r="F880" i="3"/>
  <c r="F879" i="3"/>
  <c r="F878" i="3"/>
  <c r="F877" i="3"/>
  <c r="F876" i="3"/>
  <c r="F875" i="3"/>
  <c r="F874" i="3"/>
  <c r="F873" i="3"/>
  <c r="F872" i="3"/>
  <c r="F871" i="3"/>
  <c r="F870" i="3"/>
  <c r="M42" i="3" s="1"/>
  <c r="F869" i="3"/>
  <c r="F868" i="3"/>
  <c r="F867" i="3"/>
  <c r="F866" i="3"/>
  <c r="F865" i="3"/>
  <c r="F864" i="3"/>
  <c r="F863" i="3"/>
  <c r="F862" i="3"/>
  <c r="F861" i="3"/>
  <c r="F860" i="3"/>
  <c r="F859" i="3"/>
  <c r="F858" i="3"/>
  <c r="F857" i="3"/>
  <c r="F856" i="3"/>
  <c r="F855" i="3"/>
  <c r="F854" i="3"/>
  <c r="F853" i="3"/>
  <c r="F852" i="3"/>
  <c r="F851" i="3"/>
  <c r="F850" i="3"/>
  <c r="F849" i="3"/>
  <c r="F848" i="3"/>
  <c r="F847" i="3"/>
  <c r="F846" i="3"/>
  <c r="M38" i="3" s="1"/>
  <c r="F845" i="3"/>
  <c r="F844" i="3"/>
  <c r="F843" i="3"/>
  <c r="F842" i="3"/>
  <c r="F841" i="3"/>
  <c r="F840" i="3"/>
  <c r="F839" i="3"/>
  <c r="F838" i="3"/>
  <c r="F837" i="3"/>
  <c r="F836" i="3"/>
  <c r="F835" i="3"/>
  <c r="F834" i="3"/>
  <c r="M34" i="3" s="1"/>
  <c r="F833" i="3"/>
  <c r="F832" i="3"/>
  <c r="F831" i="3"/>
  <c r="F830" i="3"/>
  <c r="M33" i="3" s="1"/>
  <c r="F829" i="3"/>
  <c r="F828" i="3"/>
  <c r="F827" i="3"/>
  <c r="F826" i="3"/>
  <c r="F825" i="3"/>
  <c r="F824" i="3"/>
  <c r="F823" i="3"/>
  <c r="F822" i="3"/>
  <c r="M32" i="3" s="1"/>
  <c r="F821" i="3"/>
  <c r="F820" i="3"/>
  <c r="F819" i="3"/>
  <c r="F818" i="3"/>
  <c r="F817" i="3"/>
  <c r="F816" i="3"/>
  <c r="F815" i="3"/>
  <c r="M31" i="3" s="1"/>
  <c r="F814" i="3"/>
  <c r="F813" i="3"/>
  <c r="F812" i="3"/>
  <c r="F811" i="3"/>
  <c r="F810" i="3"/>
  <c r="M30" i="3" s="1"/>
  <c r="F809" i="3"/>
  <c r="F808" i="3"/>
  <c r="F807" i="3"/>
  <c r="F806" i="3"/>
  <c r="F805" i="3"/>
  <c r="F804" i="3"/>
  <c r="F803" i="3"/>
  <c r="M29" i="3" s="1"/>
  <c r="F802" i="3"/>
  <c r="F801" i="3"/>
  <c r="F800" i="3"/>
  <c r="F799" i="3"/>
  <c r="F798" i="3"/>
  <c r="M28" i="3" s="1"/>
  <c r="F797" i="3"/>
  <c r="F796" i="3"/>
  <c r="F795" i="3"/>
  <c r="F794" i="3"/>
  <c r="F793" i="3"/>
  <c r="F792" i="3"/>
  <c r="F791" i="3"/>
  <c r="F790" i="3"/>
  <c r="F789" i="3"/>
  <c r="F788" i="3"/>
  <c r="F787" i="3"/>
  <c r="F786" i="3"/>
  <c r="M26" i="3" s="1"/>
  <c r="F785" i="3"/>
  <c r="F784" i="3"/>
  <c r="F783" i="3"/>
  <c r="F782" i="3"/>
  <c r="F781" i="3"/>
  <c r="F780" i="3"/>
  <c r="F779" i="3"/>
  <c r="M25" i="3" s="1"/>
  <c r="F778" i="3"/>
  <c r="F777" i="3"/>
  <c r="F776" i="3"/>
  <c r="F775" i="3"/>
  <c r="F774" i="3"/>
  <c r="M24" i="3" s="1"/>
  <c r="F773" i="3"/>
  <c r="F772" i="3"/>
  <c r="F771" i="3"/>
  <c r="F770" i="3"/>
  <c r="F769" i="3"/>
  <c r="F768" i="3"/>
  <c r="F767" i="3"/>
  <c r="M23" i="3" s="1"/>
  <c r="F766" i="3"/>
  <c r="F765" i="3"/>
  <c r="F764" i="3"/>
  <c r="F763" i="3"/>
  <c r="F762" i="3"/>
  <c r="F761" i="3"/>
  <c r="F760" i="3"/>
  <c r="F759" i="3"/>
  <c r="F758" i="3"/>
  <c r="F757" i="3"/>
  <c r="F756" i="3"/>
  <c r="F755" i="3"/>
  <c r="F754" i="3"/>
  <c r="F753" i="3"/>
  <c r="F752" i="3"/>
  <c r="F751" i="3"/>
  <c r="F750" i="3"/>
  <c r="M18" i="3" s="1"/>
  <c r="F749" i="3"/>
  <c r="F748" i="3"/>
  <c r="F747" i="3"/>
  <c r="F746" i="3"/>
  <c r="F745" i="3"/>
  <c r="F744" i="3"/>
  <c r="F743" i="3"/>
  <c r="F742" i="3"/>
  <c r="F741" i="3"/>
  <c r="F740" i="3"/>
  <c r="F739" i="3"/>
  <c r="F738" i="3"/>
  <c r="M16" i="3" s="1"/>
  <c r="F737" i="3"/>
  <c r="F736" i="3"/>
  <c r="F735" i="3"/>
  <c r="F734" i="3"/>
  <c r="F733" i="3"/>
  <c r="F732" i="3"/>
  <c r="F731" i="3"/>
  <c r="F730" i="3"/>
  <c r="F729" i="3"/>
  <c r="F728" i="3"/>
  <c r="F727" i="3"/>
  <c r="F726" i="3"/>
  <c r="M14" i="3" s="1"/>
  <c r="F725" i="3"/>
  <c r="F724" i="3"/>
  <c r="F723" i="3"/>
  <c r="F722" i="3"/>
  <c r="F721" i="3"/>
  <c r="F720" i="3"/>
  <c r="F719" i="3"/>
  <c r="F718" i="3"/>
  <c r="F717" i="3"/>
  <c r="F716" i="3"/>
  <c r="F715" i="3"/>
  <c r="F714" i="3"/>
  <c r="M12" i="3" s="1"/>
  <c r="F713" i="3"/>
  <c r="F712" i="3"/>
  <c r="F711" i="3"/>
  <c r="F710" i="3"/>
  <c r="F709" i="3"/>
  <c r="F708" i="3"/>
  <c r="F707" i="3"/>
  <c r="F706" i="3"/>
  <c r="F705" i="3"/>
  <c r="F704" i="3"/>
  <c r="F703" i="3"/>
  <c r="F702" i="3"/>
  <c r="M10" i="3" s="1"/>
  <c r="F701" i="3"/>
  <c r="F700" i="3"/>
  <c r="F699" i="3"/>
  <c r="F698" i="3"/>
  <c r="F697" i="3"/>
  <c r="F696" i="3"/>
  <c r="F695" i="3"/>
  <c r="F694" i="3"/>
  <c r="F693" i="3"/>
  <c r="F692" i="3"/>
  <c r="F691" i="3"/>
  <c r="F690" i="3"/>
  <c r="M8" i="3" s="1"/>
  <c r="F689" i="3"/>
  <c r="F688" i="3"/>
  <c r="F687" i="3"/>
  <c r="F686" i="3"/>
  <c r="F685" i="3"/>
  <c r="F684" i="3"/>
  <c r="F683" i="3"/>
  <c r="F682" i="3"/>
  <c r="F681" i="3"/>
  <c r="F680" i="3"/>
  <c r="F679" i="3"/>
  <c r="F678" i="3"/>
  <c r="M6" i="3" s="1"/>
  <c r="F677" i="3"/>
  <c r="F676" i="3"/>
  <c r="F675" i="3"/>
  <c r="F674" i="3"/>
  <c r="K67" i="3" s="1"/>
  <c r="F673" i="3"/>
  <c r="F672" i="3"/>
  <c r="F671" i="3"/>
  <c r="F670" i="3"/>
  <c r="F669" i="3"/>
  <c r="F668" i="3"/>
  <c r="F667" i="3"/>
  <c r="F666" i="3"/>
  <c r="K66" i="3" s="1"/>
  <c r="F665" i="3"/>
  <c r="F664" i="3"/>
  <c r="F663" i="3"/>
  <c r="F662" i="3"/>
  <c r="F661" i="3"/>
  <c r="F660" i="3"/>
  <c r="F659" i="3"/>
  <c r="K65" i="3" s="1"/>
  <c r="F658" i="3"/>
  <c r="F657" i="3"/>
  <c r="F656" i="3"/>
  <c r="F655" i="3"/>
  <c r="F654" i="3"/>
  <c r="K64" i="3" s="1"/>
  <c r="F653" i="3"/>
  <c r="F652" i="3"/>
  <c r="F651" i="3"/>
  <c r="F650" i="3"/>
  <c r="F649" i="3"/>
  <c r="F648" i="3"/>
  <c r="F647" i="3"/>
  <c r="K63" i="3" s="1"/>
  <c r="F646" i="3"/>
  <c r="F645" i="3"/>
  <c r="F644" i="3"/>
  <c r="F643" i="3"/>
  <c r="F642" i="3"/>
  <c r="K62" i="3" s="1"/>
  <c r="F641" i="3"/>
  <c r="F640" i="3"/>
  <c r="F639" i="3"/>
  <c r="F638" i="3"/>
  <c r="F637" i="3"/>
  <c r="F636" i="3"/>
  <c r="F635" i="3"/>
  <c r="F634" i="3"/>
  <c r="F633" i="3"/>
  <c r="F632" i="3"/>
  <c r="F631" i="3"/>
  <c r="F630" i="3"/>
  <c r="K60" i="3" s="1"/>
  <c r="F629" i="3"/>
  <c r="F628" i="3"/>
  <c r="F627" i="3"/>
  <c r="F626" i="3"/>
  <c r="K59" i="3" s="1"/>
  <c r="F625" i="3"/>
  <c r="F624" i="3"/>
  <c r="F623" i="3"/>
  <c r="F622" i="3"/>
  <c r="F621" i="3"/>
  <c r="F620" i="3"/>
  <c r="F619" i="3"/>
  <c r="F618" i="3"/>
  <c r="K58" i="3" s="1"/>
  <c r="F617" i="3"/>
  <c r="F616" i="3"/>
  <c r="F615" i="3"/>
  <c r="F614" i="3"/>
  <c r="F613" i="3"/>
  <c r="F612" i="3"/>
  <c r="F611" i="3"/>
  <c r="K57" i="3" s="1"/>
  <c r="F610" i="3"/>
  <c r="F609" i="3"/>
  <c r="F608" i="3"/>
  <c r="F607" i="3"/>
  <c r="F606" i="3"/>
  <c r="K56" i="3" s="1"/>
  <c r="F605" i="3"/>
  <c r="F604" i="3"/>
  <c r="F603" i="3"/>
  <c r="F602" i="3"/>
  <c r="F601" i="3"/>
  <c r="F600" i="3"/>
  <c r="F599" i="3"/>
  <c r="K55" i="3" s="1"/>
  <c r="F598" i="3"/>
  <c r="F597" i="3"/>
  <c r="F596" i="3"/>
  <c r="F595" i="3"/>
  <c r="F594" i="3"/>
  <c r="K54" i="3" s="1"/>
  <c r="F593" i="3"/>
  <c r="F592" i="3"/>
  <c r="F591" i="3"/>
  <c r="F590" i="3"/>
  <c r="F589" i="3"/>
  <c r="F588" i="3"/>
  <c r="F587" i="3"/>
  <c r="F586" i="3"/>
  <c r="F585" i="3"/>
  <c r="F584" i="3"/>
  <c r="F583" i="3"/>
  <c r="F582" i="3"/>
  <c r="K50" i="3" s="1"/>
  <c r="F581" i="3"/>
  <c r="F580" i="3"/>
  <c r="F579" i="3"/>
  <c r="F578" i="3"/>
  <c r="F577" i="3"/>
  <c r="F576" i="3"/>
  <c r="F575" i="3"/>
  <c r="F574" i="3"/>
  <c r="F573" i="3"/>
  <c r="F572" i="3"/>
  <c r="F571" i="3"/>
  <c r="F570" i="3"/>
  <c r="K48" i="3" s="1"/>
  <c r="F569" i="3"/>
  <c r="F568" i="3"/>
  <c r="F567" i="3"/>
  <c r="F566" i="3"/>
  <c r="F565" i="3"/>
  <c r="F564" i="3"/>
  <c r="F563" i="3"/>
  <c r="F562" i="3"/>
  <c r="F561" i="3"/>
  <c r="F560" i="3"/>
  <c r="F559" i="3"/>
  <c r="F558" i="3"/>
  <c r="F557" i="3"/>
  <c r="F556" i="3"/>
  <c r="F555" i="3"/>
  <c r="F554" i="3"/>
  <c r="F553" i="3"/>
  <c r="F552" i="3"/>
  <c r="F551" i="3"/>
  <c r="F550" i="3"/>
  <c r="F549" i="3"/>
  <c r="F548" i="3"/>
  <c r="F547" i="3"/>
  <c r="F546" i="3"/>
  <c r="K44" i="3" s="1"/>
  <c r="F545" i="3"/>
  <c r="F544" i="3"/>
  <c r="F543" i="3"/>
  <c r="F542" i="3"/>
  <c r="F541" i="3"/>
  <c r="F540" i="3"/>
  <c r="F539" i="3"/>
  <c r="F538" i="3"/>
  <c r="F537" i="3"/>
  <c r="F536" i="3"/>
  <c r="F535" i="3"/>
  <c r="F534" i="3"/>
  <c r="K42" i="3" s="1"/>
  <c r="F533" i="3"/>
  <c r="F532" i="3"/>
  <c r="F531" i="3"/>
  <c r="F530" i="3"/>
  <c r="F529" i="3"/>
  <c r="F528" i="3"/>
  <c r="F527" i="3"/>
  <c r="F526" i="3"/>
  <c r="F525" i="3"/>
  <c r="F524" i="3"/>
  <c r="F523" i="3"/>
  <c r="F522" i="3"/>
  <c r="K40" i="3" s="1"/>
  <c r="F521" i="3"/>
  <c r="F520" i="3"/>
  <c r="F519" i="3"/>
  <c r="F518" i="3"/>
  <c r="F517" i="3"/>
  <c r="F516" i="3"/>
  <c r="F515" i="3"/>
  <c r="F514" i="3"/>
  <c r="F513" i="3"/>
  <c r="F512" i="3"/>
  <c r="F511" i="3"/>
  <c r="F510" i="3"/>
  <c r="F509" i="3"/>
  <c r="F508" i="3"/>
  <c r="F507" i="3"/>
  <c r="F506" i="3"/>
  <c r="F505" i="3"/>
  <c r="F504" i="3"/>
  <c r="F503" i="3"/>
  <c r="K35" i="3" s="1"/>
  <c r="F502" i="3"/>
  <c r="F501" i="3"/>
  <c r="F500" i="3"/>
  <c r="F499" i="3"/>
  <c r="F498" i="3"/>
  <c r="K34" i="3" s="1"/>
  <c r="F497" i="3"/>
  <c r="F496" i="3"/>
  <c r="F495" i="3"/>
  <c r="F494" i="3"/>
  <c r="F493" i="3"/>
  <c r="F492" i="3"/>
  <c r="F491" i="3"/>
  <c r="F490" i="3"/>
  <c r="F489" i="3"/>
  <c r="F488" i="3"/>
  <c r="F487" i="3"/>
  <c r="F486" i="3"/>
  <c r="K32" i="3" s="1"/>
  <c r="F485" i="3"/>
  <c r="F484" i="3"/>
  <c r="F483" i="3"/>
  <c r="F482" i="3"/>
  <c r="K31" i="3" s="1"/>
  <c r="F481" i="3"/>
  <c r="F480" i="3"/>
  <c r="F479" i="3"/>
  <c r="F478" i="3"/>
  <c r="F477" i="3"/>
  <c r="F476" i="3"/>
  <c r="F475" i="3"/>
  <c r="F474" i="3"/>
  <c r="K30" i="3" s="1"/>
  <c r="F473" i="3"/>
  <c r="F472" i="3"/>
  <c r="F471" i="3"/>
  <c r="F470" i="3"/>
  <c r="F469" i="3"/>
  <c r="F468" i="3"/>
  <c r="F467" i="3"/>
  <c r="K29" i="3" s="1"/>
  <c r="F466" i="3"/>
  <c r="F465" i="3"/>
  <c r="F464" i="3"/>
  <c r="F463" i="3"/>
  <c r="F462" i="3"/>
  <c r="K28" i="3" s="1"/>
  <c r="F461" i="3"/>
  <c r="F460" i="3"/>
  <c r="F459" i="3"/>
  <c r="F458" i="3"/>
  <c r="F457" i="3"/>
  <c r="F456" i="3"/>
  <c r="F455" i="3"/>
  <c r="K27" i="3" s="1"/>
  <c r="F454" i="3"/>
  <c r="F453" i="3"/>
  <c r="F452" i="3"/>
  <c r="F451" i="3"/>
  <c r="F450" i="3"/>
  <c r="K26" i="3" s="1"/>
  <c r="F449" i="3"/>
  <c r="F448" i="3"/>
  <c r="F447" i="3"/>
  <c r="F446" i="3"/>
  <c r="F445" i="3"/>
  <c r="F444" i="3"/>
  <c r="F443" i="3"/>
  <c r="K25" i="3" s="1"/>
  <c r="F442" i="3"/>
  <c r="F441" i="3"/>
  <c r="F440" i="3"/>
  <c r="F439" i="3"/>
  <c r="F438" i="3"/>
  <c r="K24" i="3" s="1"/>
  <c r="F437" i="3"/>
  <c r="F436" i="3"/>
  <c r="F435" i="3"/>
  <c r="F434" i="3"/>
  <c r="K23" i="3" s="1"/>
  <c r="F433" i="3"/>
  <c r="F432" i="3"/>
  <c r="F431" i="3"/>
  <c r="F430" i="3"/>
  <c r="F429" i="3"/>
  <c r="F428" i="3"/>
  <c r="F427" i="3"/>
  <c r="F426" i="3"/>
  <c r="K22" i="3" s="1"/>
  <c r="F425" i="3"/>
  <c r="F424" i="3"/>
  <c r="F423" i="3"/>
  <c r="F422" i="3"/>
  <c r="F421" i="3"/>
  <c r="F420" i="3"/>
  <c r="F419" i="3"/>
  <c r="K19" i="3" s="1"/>
  <c r="F418" i="3"/>
  <c r="F417" i="3"/>
  <c r="F416" i="3"/>
  <c r="F415" i="3"/>
  <c r="F414" i="3"/>
  <c r="K18" i="3" s="1"/>
  <c r="F413" i="3"/>
  <c r="F412" i="3"/>
  <c r="F411" i="3"/>
  <c r="F410" i="3"/>
  <c r="F409" i="3"/>
  <c r="F408" i="3"/>
  <c r="F407" i="3"/>
  <c r="K17" i="3" s="1"/>
  <c r="F406" i="3"/>
  <c r="F405" i="3"/>
  <c r="F404" i="3"/>
  <c r="F403" i="3"/>
  <c r="F402" i="3"/>
  <c r="K16" i="3" s="1"/>
  <c r="F401" i="3"/>
  <c r="F400" i="3"/>
  <c r="F399" i="3"/>
  <c r="F398" i="3"/>
  <c r="F397" i="3"/>
  <c r="F396" i="3"/>
  <c r="F395" i="3"/>
  <c r="K15" i="3" s="1"/>
  <c r="F394" i="3"/>
  <c r="F393" i="3"/>
  <c r="F392" i="3"/>
  <c r="F391" i="3"/>
  <c r="F390" i="3"/>
  <c r="K14" i="3" s="1"/>
  <c r="F389" i="3"/>
  <c r="F388" i="3"/>
  <c r="F387" i="3"/>
  <c r="F386" i="3"/>
  <c r="F385" i="3"/>
  <c r="F384" i="3"/>
  <c r="F383" i="3"/>
  <c r="K13" i="3" s="1"/>
  <c r="F382" i="3"/>
  <c r="F381" i="3"/>
  <c r="F380" i="3"/>
  <c r="F379" i="3"/>
  <c r="F378" i="3"/>
  <c r="K12" i="3" s="1"/>
  <c r="F377" i="3"/>
  <c r="F376" i="3"/>
  <c r="F375" i="3"/>
  <c r="F374" i="3"/>
  <c r="F373" i="3"/>
  <c r="F372" i="3"/>
  <c r="F371" i="3"/>
  <c r="K11" i="3" s="1"/>
  <c r="F370" i="3"/>
  <c r="F369" i="3"/>
  <c r="F368" i="3"/>
  <c r="F367" i="3"/>
  <c r="F366" i="3"/>
  <c r="K10" i="3" s="1"/>
  <c r="F365" i="3"/>
  <c r="F364" i="3"/>
  <c r="F363" i="3"/>
  <c r="F362" i="3"/>
  <c r="F361" i="3"/>
  <c r="F360" i="3"/>
  <c r="F359" i="3"/>
  <c r="K9" i="3" s="1"/>
  <c r="F358" i="3"/>
  <c r="F357" i="3"/>
  <c r="F356" i="3"/>
  <c r="F355" i="3"/>
  <c r="F354" i="3"/>
  <c r="K8" i="3" s="1"/>
  <c r="F353" i="3"/>
  <c r="F352" i="3"/>
  <c r="F351" i="3"/>
  <c r="F350" i="3"/>
  <c r="F349" i="3"/>
  <c r="F348" i="3"/>
  <c r="F347" i="3"/>
  <c r="K7" i="3" s="1"/>
  <c r="F346" i="3"/>
  <c r="F345" i="3"/>
  <c r="F344" i="3"/>
  <c r="F343" i="3"/>
  <c r="F342" i="3"/>
  <c r="K6" i="3" s="1"/>
  <c r="F341" i="3"/>
  <c r="F340" i="3"/>
  <c r="F339" i="3"/>
  <c r="F338" i="3"/>
  <c r="F337" i="3"/>
  <c r="F336" i="3"/>
  <c r="F335" i="3"/>
  <c r="F334" i="3"/>
  <c r="F333" i="3"/>
  <c r="F332" i="3"/>
  <c r="F331" i="3"/>
  <c r="F330" i="3"/>
  <c r="I66" i="3" s="1"/>
  <c r="F329" i="3"/>
  <c r="F328" i="3"/>
  <c r="F327" i="3"/>
  <c r="F326" i="3"/>
  <c r="F325" i="3"/>
  <c r="F324" i="3"/>
  <c r="F323" i="3"/>
  <c r="F322" i="3"/>
  <c r="F321" i="3"/>
  <c r="F320" i="3"/>
  <c r="F319" i="3"/>
  <c r="F318" i="3"/>
  <c r="I64" i="3" s="1"/>
  <c r="F317" i="3"/>
  <c r="F316" i="3"/>
  <c r="F315" i="3"/>
  <c r="F314" i="3"/>
  <c r="F313" i="3"/>
  <c r="F312" i="3"/>
  <c r="F311" i="3"/>
  <c r="F310" i="3"/>
  <c r="F309" i="3"/>
  <c r="F308" i="3"/>
  <c r="F307" i="3"/>
  <c r="F306" i="3"/>
  <c r="I62" i="3" s="1"/>
  <c r="F305" i="3"/>
  <c r="F304" i="3"/>
  <c r="F303" i="3"/>
  <c r="F302" i="3"/>
  <c r="F301" i="3"/>
  <c r="F300" i="3"/>
  <c r="F299" i="3"/>
  <c r="F298" i="3"/>
  <c r="F297" i="3"/>
  <c r="F296" i="3"/>
  <c r="F295" i="3"/>
  <c r="F294" i="3"/>
  <c r="F293" i="3"/>
  <c r="F292" i="3"/>
  <c r="F291" i="3"/>
  <c r="F290" i="3"/>
  <c r="F289" i="3"/>
  <c r="F288" i="3"/>
  <c r="F287" i="3"/>
  <c r="F286" i="3"/>
  <c r="F285" i="3"/>
  <c r="F284" i="3"/>
  <c r="F283" i="3"/>
  <c r="F282" i="3"/>
  <c r="I58" i="3" s="1"/>
  <c r="F281" i="3"/>
  <c r="F280" i="3"/>
  <c r="F279" i="3"/>
  <c r="F278" i="3"/>
  <c r="F277" i="3"/>
  <c r="F276" i="3"/>
  <c r="F275" i="3"/>
  <c r="F274" i="3"/>
  <c r="F273" i="3"/>
  <c r="F272" i="3"/>
  <c r="F271" i="3"/>
  <c r="F270" i="3"/>
  <c r="I56" i="3" s="1"/>
  <c r="F269" i="3"/>
  <c r="F268" i="3"/>
  <c r="F267" i="3"/>
  <c r="F266" i="3"/>
  <c r="F265" i="3"/>
  <c r="F264" i="3"/>
  <c r="F263" i="3"/>
  <c r="F262" i="3"/>
  <c r="F261" i="3"/>
  <c r="F260" i="3"/>
  <c r="F259" i="3"/>
  <c r="F258" i="3"/>
  <c r="I54" i="3" s="1"/>
  <c r="F257" i="3"/>
  <c r="F256" i="3"/>
  <c r="F255" i="3"/>
  <c r="F254" i="3"/>
  <c r="I51" i="3" s="1"/>
  <c r="F253" i="3"/>
  <c r="F252" i="3"/>
  <c r="F251" i="3"/>
  <c r="F250" i="3"/>
  <c r="F249" i="3"/>
  <c r="F248" i="3"/>
  <c r="F247" i="3"/>
  <c r="F246" i="3"/>
  <c r="I50" i="3" s="1"/>
  <c r="F245" i="3"/>
  <c r="F244" i="3"/>
  <c r="F243" i="3"/>
  <c r="F242" i="3"/>
  <c r="F241" i="3"/>
  <c r="F240" i="3"/>
  <c r="F239" i="3"/>
  <c r="I49" i="3" s="1"/>
  <c r="F238" i="3"/>
  <c r="F237" i="3"/>
  <c r="F236" i="3"/>
  <c r="F235" i="3"/>
  <c r="F234" i="3"/>
  <c r="I48" i="3" s="1"/>
  <c r="F233" i="3"/>
  <c r="F232" i="3"/>
  <c r="F231" i="3"/>
  <c r="F230" i="3"/>
  <c r="F229" i="3"/>
  <c r="F228" i="3"/>
  <c r="F227" i="3"/>
  <c r="I47" i="3" s="1"/>
  <c r="F226" i="3"/>
  <c r="F225" i="3"/>
  <c r="F224" i="3"/>
  <c r="F223" i="3"/>
  <c r="F222" i="3"/>
  <c r="I46" i="3" s="1"/>
  <c r="F221" i="3"/>
  <c r="F220" i="3"/>
  <c r="F219" i="3"/>
  <c r="F218" i="3"/>
  <c r="F217" i="3"/>
  <c r="F216" i="3"/>
  <c r="F215" i="3"/>
  <c r="F214" i="3"/>
  <c r="F213" i="3"/>
  <c r="F212" i="3"/>
  <c r="F211" i="3"/>
  <c r="F210" i="3"/>
  <c r="I44" i="3" s="1"/>
  <c r="F209" i="3"/>
  <c r="F208" i="3"/>
  <c r="F207" i="3"/>
  <c r="F206" i="3"/>
  <c r="I43" i="3" s="1"/>
  <c r="F205" i="3"/>
  <c r="F204" i="3"/>
  <c r="F203" i="3"/>
  <c r="F202" i="3"/>
  <c r="F201" i="3"/>
  <c r="F200" i="3"/>
  <c r="F199" i="3"/>
  <c r="F198" i="3"/>
  <c r="I42" i="3" s="1"/>
  <c r="F197" i="3"/>
  <c r="F196" i="3"/>
  <c r="F195" i="3"/>
  <c r="F194" i="3"/>
  <c r="F193" i="3"/>
  <c r="F192" i="3"/>
  <c r="F191" i="3"/>
  <c r="I41" i="3" s="1"/>
  <c r="F190" i="3"/>
  <c r="F189" i="3"/>
  <c r="F188" i="3"/>
  <c r="F187" i="3"/>
  <c r="F186" i="3"/>
  <c r="I40" i="3" s="1"/>
  <c r="F185" i="3"/>
  <c r="F184" i="3"/>
  <c r="F183" i="3"/>
  <c r="F182" i="3"/>
  <c r="F181" i="3"/>
  <c r="F180" i="3"/>
  <c r="F179" i="3"/>
  <c r="I39" i="3" s="1"/>
  <c r="F178" i="3"/>
  <c r="F177" i="3"/>
  <c r="F176" i="3"/>
  <c r="F175" i="3"/>
  <c r="F174" i="3"/>
  <c r="I38" i="3" s="1"/>
  <c r="F173" i="3"/>
  <c r="F172" i="3"/>
  <c r="F171" i="3"/>
  <c r="F170" i="3"/>
  <c r="F169" i="3"/>
  <c r="F168" i="3"/>
  <c r="F167" i="3"/>
  <c r="F166" i="3"/>
  <c r="F165" i="3"/>
  <c r="F164" i="3"/>
  <c r="F163" i="3"/>
  <c r="F162" i="3"/>
  <c r="I34" i="3" s="1"/>
  <c r="F161" i="3"/>
  <c r="F160" i="3"/>
  <c r="F159" i="3"/>
  <c r="F158" i="3"/>
  <c r="F157" i="3"/>
  <c r="F156" i="3"/>
  <c r="F155" i="3"/>
  <c r="F154" i="3"/>
  <c r="F153" i="3"/>
  <c r="F152" i="3"/>
  <c r="F151" i="3"/>
  <c r="F150" i="3"/>
  <c r="F149" i="3"/>
  <c r="F148" i="3"/>
  <c r="F147" i="3"/>
  <c r="F146" i="3"/>
  <c r="F145" i="3"/>
  <c r="F144" i="3"/>
  <c r="F143" i="3"/>
  <c r="F142" i="3"/>
  <c r="F141" i="3"/>
  <c r="F140" i="3"/>
  <c r="F139" i="3"/>
  <c r="F138" i="3"/>
  <c r="I30" i="3" s="1"/>
  <c r="F137" i="3"/>
  <c r="F136" i="3"/>
  <c r="F135" i="3"/>
  <c r="F134" i="3"/>
  <c r="F133" i="3"/>
  <c r="F132" i="3"/>
  <c r="F131" i="3"/>
  <c r="F130" i="3"/>
  <c r="F129" i="3"/>
  <c r="F128" i="3"/>
  <c r="F127" i="3"/>
  <c r="F126" i="3"/>
  <c r="I28" i="3" s="1"/>
  <c r="F125" i="3"/>
  <c r="F124" i="3"/>
  <c r="F123" i="3"/>
  <c r="F122" i="3"/>
  <c r="F121" i="3"/>
  <c r="F120" i="3"/>
  <c r="F119" i="3"/>
  <c r="F118" i="3"/>
  <c r="F117" i="3"/>
  <c r="F116" i="3"/>
  <c r="F115" i="3"/>
  <c r="F114" i="3"/>
  <c r="I26" i="3" s="1"/>
  <c r="F113" i="3"/>
  <c r="F112" i="3"/>
  <c r="F111" i="3"/>
  <c r="F110" i="3"/>
  <c r="F109" i="3"/>
  <c r="F108" i="3"/>
  <c r="F107" i="3"/>
  <c r="F106" i="3"/>
  <c r="F105" i="3"/>
  <c r="F104" i="3"/>
  <c r="F103" i="3"/>
  <c r="F102" i="3"/>
  <c r="I24" i="3" s="1"/>
  <c r="F101" i="3"/>
  <c r="F100" i="3"/>
  <c r="F99" i="3"/>
  <c r="F98" i="3"/>
  <c r="F97" i="3"/>
  <c r="F96" i="3"/>
  <c r="F95" i="3"/>
  <c r="F94" i="3"/>
  <c r="F93" i="3"/>
  <c r="F92" i="3"/>
  <c r="F91" i="3"/>
  <c r="F90" i="3"/>
  <c r="I22" i="3" s="1"/>
  <c r="F89" i="3"/>
  <c r="F88" i="3"/>
  <c r="F87" i="3"/>
  <c r="F86" i="3"/>
  <c r="I19" i="3" s="1"/>
  <c r="F85" i="3"/>
  <c r="F84" i="3"/>
  <c r="O83" i="3"/>
  <c r="F83" i="3"/>
  <c r="K82" i="3"/>
  <c r="F82" i="3"/>
  <c r="I81" i="3"/>
  <c r="F81" i="3"/>
  <c r="F80" i="3"/>
  <c r="F79" i="3"/>
  <c r="F78" i="3"/>
  <c r="Q77" i="3"/>
  <c r="F77" i="3"/>
  <c r="M76" i="3"/>
  <c r="F76" i="3"/>
  <c r="O75" i="3"/>
  <c r="F75" i="3"/>
  <c r="K74" i="3"/>
  <c r="F74" i="3"/>
  <c r="I73" i="3"/>
  <c r="F73" i="3"/>
  <c r="F72" i="3"/>
  <c r="F71" i="3"/>
  <c r="I17" i="3" s="1"/>
  <c r="F70" i="3"/>
  <c r="F69" i="3"/>
  <c r="F68" i="3"/>
  <c r="F67" i="3"/>
  <c r="F66" i="3"/>
  <c r="F65" i="3"/>
  <c r="Q64" i="3"/>
  <c r="F64" i="3"/>
  <c r="I15" i="3" s="1"/>
  <c r="M63" i="3"/>
  <c r="F63" i="3"/>
  <c r="O62" i="3"/>
  <c r="F62" i="3"/>
  <c r="K61" i="3"/>
  <c r="F61" i="3"/>
  <c r="I60" i="3"/>
  <c r="F60" i="3"/>
  <c r="F59" i="3"/>
  <c r="F58" i="3"/>
  <c r="F57" i="3"/>
  <c r="Q56" i="3"/>
  <c r="F56" i="3"/>
  <c r="M55" i="3"/>
  <c r="F55" i="3"/>
  <c r="O54" i="3"/>
  <c r="F54" i="3"/>
  <c r="F53" i="3"/>
  <c r="F52" i="3"/>
  <c r="F51" i="3"/>
  <c r="F50" i="3"/>
  <c r="Q49" i="3"/>
  <c r="F49" i="3"/>
  <c r="I13" i="3" s="1"/>
  <c r="M48" i="3"/>
  <c r="F48" i="3"/>
  <c r="O47" i="3"/>
  <c r="F47" i="3"/>
  <c r="K46" i="3"/>
  <c r="F46" i="3"/>
  <c r="I45" i="3"/>
  <c r="F45" i="3"/>
  <c r="F44" i="3"/>
  <c r="F43" i="3"/>
  <c r="F42" i="3"/>
  <c r="Q41" i="3"/>
  <c r="F41" i="3"/>
  <c r="M40" i="3"/>
  <c r="F40" i="3"/>
  <c r="O39" i="3"/>
  <c r="F39" i="3"/>
  <c r="K38" i="3"/>
  <c r="F38" i="3"/>
  <c r="F37" i="3"/>
  <c r="F36" i="3"/>
  <c r="I11" i="3" s="1"/>
  <c r="M35" i="3"/>
  <c r="F35" i="3"/>
  <c r="O34" i="3"/>
  <c r="F34" i="3"/>
  <c r="K33" i="3"/>
  <c r="F33" i="3"/>
  <c r="I32" i="3"/>
  <c r="F32" i="3"/>
  <c r="F31" i="3"/>
  <c r="F30" i="3"/>
  <c r="F29" i="3"/>
  <c r="Q28" i="3"/>
  <c r="F28" i="3"/>
  <c r="M27" i="3"/>
  <c r="F27" i="3"/>
  <c r="O26" i="3"/>
  <c r="F26" i="3"/>
  <c r="O25" i="3"/>
  <c r="F25" i="3"/>
  <c r="Q24" i="3"/>
  <c r="F24" i="3"/>
  <c r="I9" i="3" s="1"/>
  <c r="I23" i="3"/>
  <c r="F23" i="3"/>
  <c r="M22" i="3"/>
  <c r="F22" i="3"/>
  <c r="F21" i="3"/>
  <c r="F20" i="3"/>
  <c r="M19" i="3"/>
  <c r="F19" i="3"/>
  <c r="Q18" i="3"/>
  <c r="I18" i="3"/>
  <c r="F18" i="3"/>
  <c r="M17" i="3"/>
  <c r="F17" i="3"/>
  <c r="Q16" i="3"/>
  <c r="I16" i="3"/>
  <c r="F16" i="3"/>
  <c r="M15" i="3"/>
  <c r="F15" i="3"/>
  <c r="Q14" i="3"/>
  <c r="I14" i="3"/>
  <c r="F14" i="3"/>
  <c r="M13" i="3"/>
  <c r="F13" i="3"/>
  <c r="Q12" i="3"/>
  <c r="I12" i="3"/>
  <c r="F12" i="3"/>
  <c r="M11" i="3"/>
  <c r="F11" i="3"/>
  <c r="I7" i="3" s="1"/>
  <c r="Q10" i="3"/>
  <c r="I10" i="3"/>
  <c r="F10" i="3"/>
  <c r="M9" i="3"/>
  <c r="F9" i="3"/>
  <c r="Q8" i="3"/>
  <c r="I8" i="3"/>
  <c r="F8" i="3"/>
  <c r="M7" i="3"/>
  <c r="F7" i="3"/>
  <c r="Q6" i="3"/>
  <c r="F6" i="3"/>
  <c r="F5" i="3"/>
  <c r="E9" i="5" l="1"/>
  <c r="G9" i="5" s="1"/>
  <c r="P9" i="5" s="1"/>
  <c r="I25" i="3"/>
  <c r="I27" i="3"/>
  <c r="U10" i="3" s="1"/>
  <c r="I29" i="3"/>
  <c r="I65" i="3"/>
  <c r="W16" i="3" s="1"/>
  <c r="I67" i="3"/>
  <c r="K39" i="3"/>
  <c r="K49" i="3"/>
  <c r="K51" i="3"/>
  <c r="M39" i="3"/>
  <c r="M41" i="3"/>
  <c r="M45" i="3"/>
  <c r="M47" i="3"/>
  <c r="M49" i="3"/>
  <c r="O27" i="3"/>
  <c r="O31" i="3"/>
  <c r="O33" i="3"/>
  <c r="O57" i="3"/>
  <c r="L17" i="5"/>
  <c r="M10" i="5"/>
  <c r="M17" i="5" s="1"/>
  <c r="I31" i="3"/>
  <c r="U14" i="3" s="1"/>
  <c r="I33" i="3"/>
  <c r="I35" i="3"/>
  <c r="U18" i="3" s="1"/>
  <c r="I55" i="3"/>
  <c r="I57" i="3"/>
  <c r="W8" i="3" s="1"/>
  <c r="I59" i="3"/>
  <c r="I61" i="3"/>
  <c r="W12" i="3" s="1"/>
  <c r="I63" i="3"/>
  <c r="K41" i="3"/>
  <c r="K43" i="3"/>
  <c r="K45" i="3"/>
  <c r="K47" i="3"/>
  <c r="M43" i="3"/>
  <c r="M51" i="3"/>
  <c r="O29" i="3"/>
  <c r="O35" i="3"/>
  <c r="O55" i="3"/>
  <c r="O59" i="3"/>
  <c r="O61" i="3"/>
  <c r="O63" i="3"/>
  <c r="O65" i="3"/>
  <c r="O67" i="3"/>
  <c r="Q23" i="3"/>
  <c r="Q25" i="3"/>
  <c r="Q27" i="3"/>
  <c r="Q29" i="3"/>
  <c r="Q31" i="3"/>
  <c r="Q33" i="3"/>
  <c r="Q35" i="3"/>
  <c r="Q55" i="3"/>
  <c r="Q57" i="3"/>
  <c r="Q59" i="3"/>
  <c r="Q61" i="3"/>
  <c r="Q63" i="3"/>
  <c r="Q65" i="3"/>
  <c r="Q67" i="3"/>
  <c r="K71" i="3"/>
  <c r="K73" i="3"/>
  <c r="K75" i="3"/>
  <c r="K77" i="3"/>
  <c r="K79" i="3"/>
  <c r="K81" i="3"/>
  <c r="K83" i="3"/>
  <c r="M71" i="3"/>
  <c r="M73" i="3"/>
  <c r="M75" i="3"/>
  <c r="M77" i="3"/>
  <c r="M79" i="3"/>
  <c r="M81" i="3"/>
  <c r="M83" i="3"/>
  <c r="I6" i="3"/>
  <c r="T5" i="3" s="1"/>
  <c r="I8" i="4"/>
  <c r="I6" i="4"/>
  <c r="R11" i="5" s="1"/>
  <c r="X18" i="3"/>
  <c r="H16" i="5"/>
  <c r="I16" i="5" s="1"/>
  <c r="C17" i="5"/>
  <c r="J16" i="5"/>
  <c r="K16" i="5" s="1"/>
  <c r="J15" i="5"/>
  <c r="J17" i="5"/>
  <c r="R10" i="5"/>
  <c r="H8" i="5"/>
  <c r="H10" i="5"/>
  <c r="D10" i="5"/>
  <c r="E10" i="5" s="1"/>
  <c r="G16" i="5"/>
  <c r="R15" i="5"/>
  <c r="L15" i="5"/>
  <c r="K17" i="5"/>
  <c r="R8" i="5"/>
  <c r="V5" i="3"/>
  <c r="X5" i="3"/>
  <c r="U6" i="3"/>
  <c r="W6" i="3"/>
  <c r="T7" i="3"/>
  <c r="V7" i="3"/>
  <c r="X7" i="3"/>
  <c r="U8" i="3"/>
  <c r="T9" i="3"/>
  <c r="V9" i="3"/>
  <c r="X9" i="3"/>
  <c r="W10" i="3"/>
  <c r="T11" i="3"/>
  <c r="V11" i="3"/>
  <c r="X11" i="3"/>
  <c r="U12" i="3"/>
  <c r="T13" i="3"/>
  <c r="V13" i="3"/>
  <c r="X13" i="3"/>
  <c r="W14" i="3"/>
  <c r="T15" i="3"/>
  <c r="V15" i="3"/>
  <c r="X15" i="3"/>
  <c r="U16" i="3"/>
  <c r="T17" i="3"/>
  <c r="V17" i="3"/>
  <c r="X17" i="3"/>
  <c r="W18" i="3"/>
  <c r="U5" i="3"/>
  <c r="W5" i="3"/>
  <c r="T6" i="3"/>
  <c r="V6" i="3"/>
  <c r="X6" i="3"/>
  <c r="U7" i="3"/>
  <c r="W7" i="3"/>
  <c r="T8" i="3"/>
  <c r="V8" i="3"/>
  <c r="X8" i="3"/>
  <c r="U9" i="3"/>
  <c r="W9" i="3"/>
  <c r="T10" i="3"/>
  <c r="V10" i="3"/>
  <c r="X10" i="3"/>
  <c r="U11" i="3"/>
  <c r="W11" i="3"/>
  <c r="T12" i="3"/>
  <c r="V12" i="3"/>
  <c r="X12" i="3"/>
  <c r="U13" i="3"/>
  <c r="W13" i="3"/>
  <c r="T14" i="3"/>
  <c r="V14" i="3"/>
  <c r="X14" i="3"/>
  <c r="U15" i="3"/>
  <c r="W15" i="3"/>
  <c r="T16" i="3"/>
  <c r="V16" i="3"/>
  <c r="X16" i="3"/>
  <c r="U17" i="3"/>
  <c r="W17" i="3"/>
  <c r="T18" i="3"/>
  <c r="V18" i="3"/>
  <c r="T9" i="5" l="1"/>
  <c r="T16" i="5"/>
  <c r="R9" i="5"/>
  <c r="S9" i="5" s="1"/>
  <c r="U9" i="5" s="1"/>
  <c r="R16" i="5"/>
  <c r="S16" i="5" s="1"/>
  <c r="I8" i="5"/>
  <c r="N8" i="5" s="1"/>
  <c r="H15" i="5"/>
  <c r="I15" i="5" s="1"/>
  <c r="N15" i="5" s="1"/>
  <c r="I10" i="5"/>
  <c r="N10" i="5" s="1"/>
  <c r="H17" i="5"/>
  <c r="I17" i="5" s="1"/>
  <c r="N17" i="5" s="1"/>
  <c r="D17" i="5"/>
  <c r="E17" i="5" s="1"/>
  <c r="G10" i="5"/>
  <c r="N9" i="5"/>
  <c r="O9" i="5" s="1"/>
  <c r="Q9" i="5" s="1"/>
  <c r="N16" i="5"/>
  <c r="O16" i="5" s="1"/>
  <c r="P16" i="5"/>
  <c r="N11" i="5"/>
  <c r="R17" i="5"/>
  <c r="U16" i="5" l="1"/>
  <c r="G17" i="5"/>
  <c r="P17" i="5" s="1"/>
  <c r="S10" i="5"/>
  <c r="T10" i="5"/>
  <c r="P10" i="5"/>
  <c r="O10" i="5"/>
  <c r="Q16" i="5"/>
  <c r="S17" i="5" l="1"/>
  <c r="O17" i="5"/>
  <c r="Q17" i="5" s="1"/>
  <c r="T17" i="5"/>
  <c r="Q10" i="5"/>
  <c r="U10" i="5"/>
  <c r="D7" i="5"/>
  <c r="C15" i="5" s="1"/>
  <c r="U17" i="5" l="1"/>
  <c r="D8" i="5"/>
  <c r="E8" i="5" s="1"/>
  <c r="D15" i="5" l="1"/>
  <c r="G8" i="5"/>
  <c r="E15" i="5" l="1"/>
  <c r="G15" i="5" s="1"/>
  <c r="P15" i="5" s="1"/>
  <c r="O8" i="5"/>
  <c r="C26" i="5"/>
  <c r="T8" i="5"/>
  <c r="P8" i="5"/>
  <c r="T15" i="5"/>
  <c r="S8" i="5"/>
  <c r="S15" i="5" l="1"/>
  <c r="O15" i="5"/>
  <c r="Q15" i="5" s="1"/>
  <c r="C25" i="5" s="1"/>
  <c r="D26" i="5"/>
  <c r="I21" i="1" s="1"/>
  <c r="H21" i="1"/>
  <c r="U15" i="5"/>
  <c r="D25" i="5" s="1"/>
  <c r="U8" i="5"/>
  <c r="D24" i="5" s="1"/>
  <c r="Q8" i="5"/>
  <c r="C24" i="5" s="1"/>
  <c r="H23" i="1" l="1"/>
  <c r="C27" i="5"/>
  <c r="H22" i="1" s="1"/>
  <c r="I23" i="1"/>
  <c r="D27" i="5"/>
  <c r="I22" i="1" s="1"/>
</calcChain>
</file>

<file path=xl/comments1.xml><?xml version="1.0" encoding="utf-8"?>
<comments xmlns="http://schemas.openxmlformats.org/spreadsheetml/2006/main">
  <authors>
    <author>Nathan Sherwood</author>
    <author>nsherwood</author>
  </authors>
  <commentList>
    <comment ref="J1" authorId="0">
      <text>
        <r>
          <rPr>
            <b/>
            <sz val="8"/>
            <color indexed="81"/>
            <rFont val="Tahoma"/>
            <family val="2"/>
          </rPr>
          <t>Nathan Sherwood:</t>
        </r>
        <r>
          <rPr>
            <sz val="8"/>
            <color indexed="81"/>
            <rFont val="Tahoma"/>
            <family val="2"/>
          </rPr>
          <t xml:space="preserve">
These concentrations are at the beginning of each section.  This is in order to calculate the log inactivation based on the formula derived (integrated method).</t>
        </r>
      </text>
    </comment>
    <comment ref="N1" authorId="1">
      <text>
        <r>
          <rPr>
            <b/>
            <sz val="8"/>
            <color indexed="81"/>
            <rFont val="Tahoma"/>
            <family val="2"/>
          </rPr>
          <t>nsherwood:</t>
        </r>
        <r>
          <rPr>
            <sz val="8"/>
            <color indexed="81"/>
            <rFont val="Tahoma"/>
            <family val="2"/>
          </rPr>
          <t xml:space="preserve">
this is a "constant" in the log-inact. formula, which is based on the current temperature.  By using concentration and pH, these cells use the lookup function to get the appropriate k from the "Giardia CT" sheet</t>
        </r>
      </text>
    </comment>
    <comment ref="O1" authorId="1">
      <text>
        <r>
          <rPr>
            <b/>
            <sz val="8"/>
            <color indexed="81"/>
            <rFont val="Tahoma"/>
            <family val="2"/>
          </rPr>
          <t>nsherwood:</t>
        </r>
        <r>
          <rPr>
            <sz val="8"/>
            <color indexed="81"/>
            <rFont val="Tahoma"/>
            <family val="2"/>
          </rPr>
          <t xml:space="preserve">
This log-inactivation formula uses the appropriate values in the adjacent cells to calculate the log-reduction for a particular segment
</t>
        </r>
      </text>
    </comment>
  </commentList>
</comments>
</file>

<file path=xl/sharedStrings.xml><?xml version="1.0" encoding="utf-8"?>
<sst xmlns="http://schemas.openxmlformats.org/spreadsheetml/2006/main" count="245" uniqueCount="131">
  <si>
    <t>LIT-03</t>
  </si>
  <si>
    <t>LIT-02</t>
  </si>
  <si>
    <t>FIT-106</t>
  </si>
  <si>
    <t>FIT-102</t>
  </si>
  <si>
    <t>FIT-105</t>
  </si>
  <si>
    <t>FRC-01</t>
  </si>
  <si>
    <t>FRC-02</t>
  </si>
  <si>
    <t>TEM-01</t>
  </si>
  <si>
    <t>Summary of Inactivation Credits</t>
  </si>
  <si>
    <t>Log Inactivation</t>
  </si>
  <si>
    <t>Component</t>
  </si>
  <si>
    <t>Giardia</t>
  </si>
  <si>
    <t>Viruses</t>
  </si>
  <si>
    <t>Chlorine</t>
  </si>
  <si>
    <t>1-Hour Forecast</t>
  </si>
  <si>
    <t>Volume</t>
  </si>
  <si>
    <r>
      <t>m</t>
    </r>
    <r>
      <rPr>
        <b/>
        <vertAlign val="superscript"/>
        <sz val="10"/>
        <rFont val="Arial"/>
        <family val="2"/>
      </rPr>
      <t>3</t>
    </r>
  </si>
  <si>
    <t>CT Tables</t>
  </si>
  <si>
    <t>Giardia Cysts</t>
  </si>
  <si>
    <t>Temperature 1:</t>
  </si>
  <si>
    <r>
      <t>o</t>
    </r>
    <r>
      <rPr>
        <b/>
        <sz val="10"/>
        <rFont val="Arial"/>
        <family val="2"/>
      </rPr>
      <t>C</t>
    </r>
  </si>
  <si>
    <t>Average K values for every temp, pH</t>
  </si>
  <si>
    <t>Giardia k Table</t>
  </si>
  <si>
    <t>pH</t>
  </si>
  <si>
    <t>Cf</t>
  </si>
  <si>
    <t>k</t>
  </si>
  <si>
    <t>Co</t>
  </si>
  <si>
    <t>Temp</t>
  </si>
  <si>
    <r>
      <t>Free Cl</t>
    </r>
    <r>
      <rPr>
        <b/>
        <vertAlign val="subscript"/>
        <sz val="10"/>
        <rFont val="Arial"/>
        <family val="2"/>
      </rPr>
      <t>2</t>
    </r>
    <r>
      <rPr>
        <b/>
        <sz val="10"/>
        <rFont val="Arial"/>
        <family val="2"/>
      </rPr>
      <t xml:space="preserve"> Conc</t>
    </r>
  </si>
  <si>
    <t xml:space="preserve">log inactivation </t>
  </si>
  <si>
    <t>CT</t>
  </si>
  <si>
    <t>temp:</t>
  </si>
  <si>
    <t>pH:</t>
  </si>
  <si>
    <t>Average K values for every Temp</t>
  </si>
  <si>
    <t>Temperature</t>
  </si>
  <si>
    <t>6-9</t>
  </si>
  <si>
    <t>Release Notes for Niagara Falls CT Calculator Version 1.1</t>
  </si>
  <si>
    <t xml:space="preserve">These notes are best viewed by printing them out and referring to them while using the program. </t>
  </si>
  <si>
    <t>Developers, please update these notes by adding to them with each new release of the program.</t>
  </si>
  <si>
    <t>Users, you can add notes at the bottom of the list, however existing notes will be locked for editing.</t>
  </si>
  <si>
    <t>User Note</t>
  </si>
  <si>
    <t>Developer Note</t>
  </si>
  <si>
    <t>Name</t>
  </si>
  <si>
    <t>Date</t>
  </si>
  <si>
    <t>When the program loads, all toolbars except Standard and Formatting are cleared from view.  Scroll is locked so that the user cannot view any cells outside the screen area.  The user input screen is best viewed at a resolution of 1024x768. The zoom has not been locked, however, it is not guaranteed that all cells will be visible if the user chooses to zoom out.  It is best viewed at 100%.</t>
  </si>
  <si>
    <t>N. Sherwood</t>
  </si>
  <si>
    <t xml:space="preserve">All cells are locked for editing except green marked cells.  These cells are for the user to input data. </t>
  </si>
  <si>
    <t>Input</t>
  </si>
  <si>
    <t>Output</t>
  </si>
  <si>
    <t>Cells with check boxes are automatically locked and grayed out when the check box is unchecked.  To input a value, the user must first check the box.</t>
  </si>
  <si>
    <t>All inputs are limited to decimal or integer values.  The following is a list of restrictions placed on each input:</t>
  </si>
  <si>
    <t>Must be between:</t>
  </si>
  <si>
    <t>Decay constant k:</t>
  </si>
  <si>
    <t>*based on normal operating procedures</t>
  </si>
  <si>
    <t>Giardia setpoint</t>
  </si>
  <si>
    <t>*see note 4</t>
  </si>
  <si>
    <t>Virus setpoint</t>
  </si>
  <si>
    <t>Chlorine concentration</t>
  </si>
  <si>
    <t>and</t>
  </si>
  <si>
    <t>*based on table values</t>
  </si>
  <si>
    <t>Backwash Frequency</t>
  </si>
  <si>
    <t>Reservoir level (% Full)</t>
  </si>
  <si>
    <t>Baffle factor</t>
  </si>
  <si>
    <t>The program will warn the user if a value they have entered is outside these restrictions.  There is no restriction on the input for flow (except that it can't be negative).</t>
  </si>
  <si>
    <t>Since there are multiple inputs for pH and temperature, the program uses the minimum of each of these inputs for the calculation. For pH, the values are rounded up to the nearest integer, and for temperature, the values are rounded down to the nearest 5°C.</t>
  </si>
  <si>
    <t>Output values for log removal credits are not shown if they exceed 3 or 4-log removal respectively.  This is because the disinfection tables do not provide information for CT values beyond 3 and 4-log removal.</t>
  </si>
  <si>
    <t>Pre-filtration credits are not being considered at this time.  Since GAC is used in the filters, any pre-chlorination residual will likely be 0 at the filter effluent.  In addition, at the time of publication, the MOE did not permit pre-filtration to be used for disinfection credit.</t>
  </si>
  <si>
    <t>It is assumed that the Clearwells are run in series (CW 1, then CW 2, then UV).</t>
  </si>
  <si>
    <t>A Filtration Credit can been applied for use in calculating total reduction of Giardia and Viruses.  In order to be considered conventional filtration and claim the 2.5 log Giardia cyst removal and 2 log virus removal credit, the filtration process must meet the following criteria:
    * use a chemical coagulant at all times when the treatment plant is in operation;
    * monitor and adjust chemical dosages in response to variations in raw water quality;
    * maintain effective backwash procedures, including filter-to-waste or an equivalent procedure during filter ripening to ensure that the effluent turbidity requirements are met at all times;
    * continuously monitor filtrate turbidity from each filter; and
    * meet the performance criterion for filtered water turbidity of less than or equal to 0.3 NTU in 95% of the measurements each month.</t>
  </si>
  <si>
    <t>If the filters are meeting the above requirements, then the warning setpoint for Chlorine Credits should be 0.5-log for Giardia and 2-log for Virus in order to meet the treatment requirement of 3-log Giardia and 4-log Virus.</t>
  </si>
  <si>
    <t>The CT disinfection tables supplied by the Ministry of the Environment (Procedure for Disinfection of Drinking Water in Ontario) have been digitized so that log-removals can be calculated for each pH, temperature and concentration.</t>
  </si>
  <si>
    <t>Version 1.1 changes made to match PLC CT calculator provided for Region.  Changes are dated 2/27/2009.</t>
  </si>
  <si>
    <r>
      <t xml:space="preserve">Top water level (TWL) of 5 m was used for the </t>
    </r>
    <r>
      <rPr>
        <b/>
        <sz val="10"/>
        <rFont val="Arial"/>
        <family val="2"/>
      </rPr>
      <t>Reservoir</t>
    </r>
    <r>
      <rPr>
        <sz val="10"/>
        <color theme="1"/>
        <rFont val="Arial"/>
        <family val="2"/>
      </rPr>
      <t xml:space="preserve"> because none was provided in drawing set. It is assumed that the bottom of the reservoir is at elevation 170.000 by averaging the variations in the slope of the reservoir floor, and the maximum TWL is 175. This was based on Drawing S401 from contract 03-10.  This gives a conservative estimation of maximum reservoir volume of 13,100 m</t>
    </r>
    <r>
      <rPr>
        <vertAlign val="superscript"/>
        <sz val="10"/>
        <rFont val="Arial"/>
        <family val="2"/>
      </rPr>
      <t>3</t>
    </r>
    <r>
      <rPr>
        <sz val="10"/>
        <color theme="1"/>
        <rFont val="Arial"/>
        <family val="2"/>
      </rPr>
      <t xml:space="preserve"> (CofA states that the reservoir volume is 14 ML).</t>
    </r>
  </si>
  <si>
    <r>
      <t xml:space="preserve">Recommended baffle factor of 0.5 has been set for the </t>
    </r>
    <r>
      <rPr>
        <b/>
        <sz val="10"/>
        <rFont val="Arial"/>
        <family val="2"/>
      </rPr>
      <t>Reservoir</t>
    </r>
    <r>
      <rPr>
        <sz val="10"/>
        <color theme="1"/>
        <rFont val="Arial"/>
        <family val="2"/>
      </rPr>
      <t>.  This is based on calculations done previously at the plant, and on the volumes calculated based on the drawing set for contract 03-10.</t>
    </r>
  </si>
  <si>
    <r>
      <t xml:space="preserve">It is assumed that </t>
    </r>
    <r>
      <rPr>
        <b/>
        <sz val="10"/>
        <rFont val="Arial"/>
        <family val="2"/>
      </rPr>
      <t>Clearwell 1</t>
    </r>
    <r>
      <rPr>
        <sz val="10"/>
        <color theme="1"/>
        <rFont val="Arial"/>
        <family val="2"/>
      </rPr>
      <t xml:space="preserve"> and </t>
    </r>
    <r>
      <rPr>
        <b/>
        <sz val="10"/>
        <rFont val="Arial"/>
        <family val="2"/>
      </rPr>
      <t>Clearwell 2</t>
    </r>
    <r>
      <rPr>
        <sz val="10"/>
        <color theme="1"/>
        <rFont val="Arial"/>
        <family val="2"/>
      </rPr>
      <t xml:space="preserve"> cannot be taken for credit. This is because the main injection points for chlorine are located downstream of the clearwells.</t>
    </r>
  </si>
  <si>
    <r>
      <t xml:space="preserve">The flow meters in the </t>
    </r>
    <r>
      <rPr>
        <b/>
        <sz val="10"/>
        <rFont val="Arial"/>
        <family val="2"/>
      </rPr>
      <t>UV building</t>
    </r>
    <r>
      <rPr>
        <sz val="10"/>
        <color theme="1"/>
        <rFont val="Arial"/>
        <family val="2"/>
      </rPr>
      <t xml:space="preserve"> are summed in the calculations for flow into the </t>
    </r>
    <r>
      <rPr>
        <b/>
        <sz val="10"/>
        <rFont val="Arial"/>
        <family val="2"/>
      </rPr>
      <t>Reservoir</t>
    </r>
    <r>
      <rPr>
        <sz val="10"/>
        <color theme="1"/>
        <rFont val="Arial"/>
        <family val="2"/>
      </rPr>
      <t xml:space="preserve">.  The sum of the flow to the distribution system is used as the flow out of the </t>
    </r>
    <r>
      <rPr>
        <b/>
        <sz val="10"/>
        <rFont val="Arial"/>
        <family val="2"/>
      </rPr>
      <t>Reservoir</t>
    </r>
    <r>
      <rPr>
        <sz val="10"/>
        <color theme="1"/>
        <rFont val="Arial"/>
        <family val="2"/>
      </rPr>
      <t xml:space="preserve">. </t>
    </r>
  </si>
  <si>
    <r>
      <t xml:space="preserve">Setting the flow to zero for any of the UV reactors means that you are shutting the valve for that reactor. Do not set all of the flow in the </t>
    </r>
    <r>
      <rPr>
        <b/>
        <sz val="10"/>
        <rFont val="Arial"/>
        <family val="2"/>
      </rPr>
      <t>UV building</t>
    </r>
    <r>
      <rPr>
        <sz val="10"/>
        <color theme="1"/>
        <rFont val="Arial"/>
        <family val="2"/>
      </rPr>
      <t xml:space="preserve"> to zero, this indicates that no flow is getting to the </t>
    </r>
    <r>
      <rPr>
        <b/>
        <sz val="10"/>
        <rFont val="Arial"/>
        <family val="2"/>
      </rPr>
      <t xml:space="preserve">Reservoir, </t>
    </r>
    <r>
      <rPr>
        <sz val="10"/>
        <rFont val="Arial"/>
        <family val="2"/>
      </rPr>
      <t xml:space="preserve">and that no flow is leaving the </t>
    </r>
    <r>
      <rPr>
        <b/>
        <sz val="10"/>
        <rFont val="Arial"/>
        <family val="2"/>
      </rPr>
      <t>Clearwells.</t>
    </r>
    <r>
      <rPr>
        <sz val="10"/>
        <rFont val="Arial"/>
        <family val="2"/>
      </rPr>
      <t xml:space="preserve"> The plant cannot run for long in this configuration, as the </t>
    </r>
    <r>
      <rPr>
        <b/>
        <sz val="10"/>
        <rFont val="Arial"/>
        <family val="2"/>
      </rPr>
      <t>Reservoir</t>
    </r>
    <r>
      <rPr>
        <sz val="10"/>
        <rFont val="Arial"/>
        <family val="2"/>
      </rPr>
      <t xml:space="preserve"> will empty, and the </t>
    </r>
    <r>
      <rPr>
        <b/>
        <sz val="10"/>
        <rFont val="Arial"/>
        <family val="2"/>
      </rPr>
      <t>Clearwells</t>
    </r>
    <r>
      <rPr>
        <sz val="10"/>
        <rFont val="Arial"/>
        <family val="2"/>
      </rPr>
      <t xml:space="preserve"> will overflow.</t>
    </r>
  </si>
  <si>
    <r>
      <t>UV disinfection is based on the lowest dosage (in mJ/cm</t>
    </r>
    <r>
      <rPr>
        <vertAlign val="superscript"/>
        <sz val="10"/>
        <rFont val="Arial"/>
        <family val="2"/>
      </rPr>
      <t>2</t>
    </r>
    <r>
      <rPr>
        <sz val="10"/>
        <color theme="1"/>
        <rFont val="Arial"/>
        <family val="2"/>
      </rPr>
      <t xml:space="preserve">) of the UV reactors. Therefore, by setting one of the dosages to zero, it is the same as turning off all the reactors (but not the flow). However, if the flow is set to zero for any of the UV reactors, the adjoining dose no longer affects the calculation. </t>
    </r>
  </si>
  <si>
    <r>
      <t>UV credit is applied separate from the Disinfection Credits.  The current C of A for the plant states: "an Ultraviolet Primary Disinfection System consisting of five (5) UV reactors (four duty, one standby) installed downstream of the existing clearwells in a new UV disinfection Building, designed to provide a minimum disinfection dose of 40 mJ/cm</t>
    </r>
    <r>
      <rPr>
        <vertAlign val="superscript"/>
        <sz val="10"/>
        <rFont val="Arial"/>
        <family val="2"/>
      </rPr>
      <t>2</t>
    </r>
    <r>
      <rPr>
        <sz val="10"/>
        <color theme="1"/>
        <rFont val="Arial"/>
        <family val="2"/>
      </rPr>
      <t xml:space="preserve"> at 254 nm at the end of lamp life and at a UV transmittance of 90% for the maximum flow rate of 1736 L/s (150 ML/d) and provide a minimum 3-log inactivation of Giardia."   So if the CT Calculator detects a dosage below 40 mJ/cm</t>
    </r>
    <r>
      <rPr>
        <vertAlign val="superscript"/>
        <sz val="10"/>
        <rFont val="Arial"/>
        <family val="2"/>
      </rPr>
      <t>2</t>
    </r>
    <r>
      <rPr>
        <sz val="10"/>
        <color theme="1"/>
        <rFont val="Arial"/>
        <family val="2"/>
      </rPr>
      <t>, no credit will be applied, and the cells will turn red.</t>
    </r>
  </si>
  <si>
    <r>
      <t xml:space="preserve">A </t>
    </r>
    <r>
      <rPr>
        <b/>
        <sz val="10"/>
        <rFont val="Arial"/>
        <family val="2"/>
      </rPr>
      <t>Safety Factor</t>
    </r>
    <r>
      <rPr>
        <sz val="10"/>
        <color theme="1"/>
        <rFont val="Arial"/>
        <family val="2"/>
      </rPr>
      <t xml:space="preserve"> has been included for each distribution point to provide the operator with a representation of the realtime factor of safety that is being implemented at current measurements of pH, temperature, flow, and chlorine residual.  The </t>
    </r>
    <r>
      <rPr>
        <b/>
        <sz val="10"/>
        <rFont val="Arial"/>
        <family val="2"/>
      </rPr>
      <t>Safety Factor</t>
    </r>
    <r>
      <rPr>
        <sz val="10"/>
        <color theme="1"/>
        <rFont val="Arial"/>
        <family val="2"/>
      </rPr>
      <t xml:space="preserve"> will turn red (alarm) when it drops below 1.2.  A </t>
    </r>
    <r>
      <rPr>
        <b/>
        <sz val="10"/>
        <rFont val="Arial"/>
        <family val="2"/>
      </rPr>
      <t>Safety Factor</t>
    </r>
    <r>
      <rPr>
        <sz val="10"/>
        <color theme="1"/>
        <rFont val="Arial"/>
        <family val="2"/>
      </rPr>
      <t xml:space="preserve"> of less than 1 means the plant is running out of compliance.</t>
    </r>
  </si>
  <si>
    <r>
      <t xml:space="preserve">Backwash water is taken from </t>
    </r>
    <r>
      <rPr>
        <b/>
        <sz val="10"/>
        <rFont val="Arial"/>
        <family val="2"/>
      </rPr>
      <t>Clearwell 2</t>
    </r>
    <r>
      <rPr>
        <sz val="10"/>
        <color theme="1"/>
        <rFont val="Arial"/>
        <family val="2"/>
      </rPr>
      <t>.  This is subtracted as a volume per backwash.  The volume is based on the filter narrative which states that 214 m</t>
    </r>
    <r>
      <rPr>
        <vertAlign val="superscript"/>
        <sz val="10"/>
        <rFont val="Arial"/>
        <family val="2"/>
      </rPr>
      <t>3</t>
    </r>
    <r>
      <rPr>
        <sz val="10"/>
        <color theme="1"/>
        <rFont val="Arial"/>
        <family val="2"/>
      </rPr>
      <t xml:space="preserve"> of water is needed per backwash cycle, per filter. The narrative also states that the filters are always backwashed in pairs. This is why the input for the number of filters is in pairs of filters. This input will affect the 1-hour forecast values, as the volume in the Reservoir(s) will have dropped based on the amount of backwashing required.</t>
    </r>
  </si>
  <si>
    <r>
      <t xml:space="preserve">Because of possible short circuiting, </t>
    </r>
    <r>
      <rPr>
        <b/>
        <sz val="10"/>
        <rFont val="Arial"/>
        <family val="2"/>
      </rPr>
      <t>the high lift pump wells</t>
    </r>
    <r>
      <rPr>
        <sz val="10"/>
        <color theme="1"/>
        <rFont val="Arial"/>
        <family val="2"/>
      </rPr>
      <t xml:space="preserve"> have not been counted any credit.</t>
    </r>
  </si>
  <si>
    <r>
      <t xml:space="preserve">There is an estimated 83 m of pipe between the </t>
    </r>
    <r>
      <rPr>
        <b/>
        <sz val="10"/>
        <rFont val="Arial"/>
        <family val="2"/>
      </rPr>
      <t>UV Building</t>
    </r>
    <r>
      <rPr>
        <sz val="10"/>
        <color theme="1"/>
        <rFont val="Arial"/>
        <family val="2"/>
      </rPr>
      <t xml:space="preserve"> and the </t>
    </r>
    <r>
      <rPr>
        <b/>
        <sz val="10"/>
        <rFont val="Arial"/>
        <family val="2"/>
      </rPr>
      <t>Reservoir</t>
    </r>
    <r>
      <rPr>
        <sz val="10"/>
        <color theme="1"/>
        <rFont val="Arial"/>
        <family val="2"/>
      </rPr>
      <t>.</t>
    </r>
  </si>
  <si>
    <r>
      <t xml:space="preserve">There is an estimated 180 m of pipe between the </t>
    </r>
    <r>
      <rPr>
        <b/>
        <sz val="10"/>
        <rFont val="Arial"/>
        <family val="2"/>
      </rPr>
      <t>Reservoir</t>
    </r>
    <r>
      <rPr>
        <sz val="10"/>
        <color theme="1"/>
        <rFont val="Arial"/>
        <family val="2"/>
      </rPr>
      <t xml:space="preserve"> and the </t>
    </r>
    <r>
      <rPr>
        <b/>
        <sz val="10"/>
        <rFont val="Arial"/>
        <family val="2"/>
      </rPr>
      <t>High Lift Pumps.</t>
    </r>
  </si>
  <si>
    <r>
      <t xml:space="preserve">The log removal credit has been calculated using a combination of the integrated form of the decay equation, and the Chick-Watson model.  By integrating this combination, the result is an equation relating log-removal to decay constant </t>
    </r>
    <r>
      <rPr>
        <b/>
        <sz val="10"/>
        <rFont val="Arial"/>
        <family val="2"/>
      </rPr>
      <t>k</t>
    </r>
    <r>
      <rPr>
        <sz val="10"/>
        <color theme="1"/>
        <rFont val="Arial"/>
        <family val="2"/>
      </rPr>
      <t xml:space="preserve">, initial concentration </t>
    </r>
    <r>
      <rPr>
        <b/>
        <sz val="10"/>
        <rFont val="Arial"/>
        <family val="2"/>
      </rPr>
      <t>C</t>
    </r>
    <r>
      <rPr>
        <b/>
        <vertAlign val="subscript"/>
        <sz val="10"/>
        <rFont val="Arial"/>
        <family val="2"/>
      </rPr>
      <t>o</t>
    </r>
    <r>
      <rPr>
        <sz val="10"/>
        <color theme="1"/>
        <rFont val="Arial"/>
        <family val="2"/>
      </rPr>
      <t xml:space="preserve">, baffle factor </t>
    </r>
    <r>
      <rPr>
        <b/>
        <sz val="10"/>
        <rFont val="Arial"/>
        <family val="2"/>
      </rPr>
      <t>x</t>
    </r>
    <r>
      <rPr>
        <sz val="10"/>
        <color theme="1"/>
        <rFont val="Arial"/>
        <family val="2"/>
      </rPr>
      <t xml:space="preserve">, and hydraulic detention time, </t>
    </r>
    <r>
      <rPr>
        <b/>
        <sz val="10"/>
        <rFont val="Arial"/>
        <family val="2"/>
      </rPr>
      <t>t</t>
    </r>
    <r>
      <rPr>
        <b/>
        <vertAlign val="subscript"/>
        <sz val="10"/>
        <rFont val="Arial"/>
        <family val="2"/>
      </rPr>
      <t>d</t>
    </r>
    <r>
      <rPr>
        <sz val="10"/>
        <color theme="1"/>
        <rFont val="Arial"/>
        <family val="2"/>
      </rPr>
      <t>.</t>
    </r>
  </si>
  <si>
    <r>
      <t xml:space="preserve">The </t>
    </r>
    <r>
      <rPr>
        <b/>
        <sz val="10"/>
        <rFont val="Arial"/>
        <family val="2"/>
      </rPr>
      <t>decay constant k</t>
    </r>
    <r>
      <rPr>
        <sz val="10"/>
        <color theme="1"/>
        <rFont val="Arial"/>
        <family val="2"/>
      </rPr>
      <t xml:space="preserve"> can be </t>
    </r>
    <r>
      <rPr>
        <b/>
        <sz val="10"/>
        <rFont val="Arial"/>
        <family val="2"/>
      </rPr>
      <t>calculated</t>
    </r>
    <r>
      <rPr>
        <sz val="10"/>
        <color theme="1"/>
        <rFont val="Arial"/>
        <family val="2"/>
      </rPr>
      <t xml:space="preserve"> by using the measured residual concentrations before and after the reservoirs, and dividing by hydraulic detention time.  This decay constant can also be included as a </t>
    </r>
    <r>
      <rPr>
        <b/>
        <sz val="10"/>
        <rFont val="Arial"/>
        <family val="2"/>
      </rPr>
      <t>measured</t>
    </r>
    <r>
      <rPr>
        <sz val="10"/>
        <color theme="1"/>
        <rFont val="Arial"/>
        <family val="2"/>
      </rPr>
      <t xml:space="preserve"> value (i.e. using post filtration water and testing decay in the lab). To clarify: the </t>
    </r>
    <r>
      <rPr>
        <b/>
        <sz val="10"/>
        <rFont val="Arial"/>
        <family val="2"/>
      </rPr>
      <t>calculated k</t>
    </r>
    <r>
      <rPr>
        <sz val="10"/>
        <color theme="1"/>
        <rFont val="Arial"/>
        <family val="2"/>
      </rPr>
      <t xml:space="preserve"> is an output from the program based on inputs such as chlorine residual and flow, and the </t>
    </r>
    <r>
      <rPr>
        <b/>
        <sz val="10"/>
        <rFont val="Arial"/>
        <family val="2"/>
      </rPr>
      <t>measured k</t>
    </r>
    <r>
      <rPr>
        <sz val="10"/>
        <color theme="1"/>
        <rFont val="Arial"/>
        <family val="2"/>
      </rPr>
      <t xml:space="preserve"> is an input that the user specifies based on laboratory results.  </t>
    </r>
  </si>
  <si>
    <r>
      <t xml:space="preserve">It is recommended that the </t>
    </r>
    <r>
      <rPr>
        <b/>
        <sz val="10"/>
        <rFont val="Arial"/>
        <family val="2"/>
      </rPr>
      <t>calculated k</t>
    </r>
    <r>
      <rPr>
        <sz val="10"/>
        <color theme="1"/>
        <rFont val="Arial"/>
        <family val="2"/>
      </rPr>
      <t xml:space="preserve"> be field verified using a bench scale test. If results are shown to vary significantly from the </t>
    </r>
    <r>
      <rPr>
        <b/>
        <sz val="10"/>
        <rFont val="Arial"/>
        <family val="2"/>
      </rPr>
      <t>calculated k</t>
    </r>
    <r>
      <rPr>
        <sz val="10"/>
        <color theme="1"/>
        <rFont val="Arial"/>
        <family val="2"/>
      </rPr>
      <t xml:space="preserve">, it is recommended that a </t>
    </r>
    <r>
      <rPr>
        <b/>
        <sz val="10"/>
        <rFont val="Arial"/>
        <family val="2"/>
      </rPr>
      <t>measured k</t>
    </r>
    <r>
      <rPr>
        <sz val="10"/>
        <color theme="1"/>
        <rFont val="Arial"/>
        <family val="2"/>
      </rPr>
      <t xml:space="preserve"> be used.</t>
    </r>
  </si>
  <si>
    <t>Segment</t>
  </si>
  <si>
    <t>Flow</t>
  </si>
  <si>
    <t>HDT</t>
  </si>
  <si>
    <t>Baffle</t>
  </si>
  <si>
    <t>T10</t>
  </si>
  <si>
    <t>round</t>
  </si>
  <si>
    <t>Log</t>
  </si>
  <si>
    <t>Virus</t>
  </si>
  <si>
    <t>L/s</t>
  </si>
  <si>
    <t>min</t>
  </si>
  <si>
    <t>up</t>
  </si>
  <si>
    <t>mg/L</t>
  </si>
  <si>
    <t>°C</t>
  </si>
  <si>
    <t>down</t>
  </si>
  <si>
    <t>eqn 1</t>
  </si>
  <si>
    <t>eqn 2</t>
  </si>
  <si>
    <t>max</t>
  </si>
  <si>
    <t>Description</t>
  </si>
  <si>
    <t>River Intake Pipe</t>
  </si>
  <si>
    <t>Raw Water Well</t>
  </si>
  <si>
    <t>Pipe Tower to 1st User</t>
  </si>
  <si>
    <t>Tower</t>
  </si>
  <si>
    <t>Pipe CW to Tower</t>
  </si>
  <si>
    <t>Clearwell</t>
  </si>
  <si>
    <t>Baffling</t>
  </si>
  <si>
    <t>Pipe to Clearwell</t>
  </si>
  <si>
    <t>PH-02</t>
  </si>
  <si>
    <t>PH-03</t>
  </si>
  <si>
    <t>Virsuses</t>
  </si>
  <si>
    <t>Log Eqn 2 Formulas:</t>
  </si>
  <si>
    <t>Log-reduction = CT Actual / [0.2828 x (pH)^2.69 x (Free Cl Conc.)^0.15 x 0.933^(Temp. - 5)]</t>
  </si>
  <si>
    <t>Log-reduction = {[CT Actual x e^(0.071 x Temp.)] - 0.42} / 2.94</t>
  </si>
  <si>
    <r>
      <rPr>
        <vertAlign val="superscript"/>
        <sz val="11"/>
        <color theme="1"/>
        <rFont val="Calibri"/>
        <family val="2"/>
        <scheme val="minor"/>
      </rPr>
      <t>o</t>
    </r>
    <r>
      <rPr>
        <sz val="11"/>
        <color theme="1"/>
        <rFont val="Calibri"/>
        <family val="2"/>
        <scheme val="minor"/>
      </rPr>
      <t>C</t>
    </r>
  </si>
  <si>
    <t>Volumes</t>
  </si>
  <si>
    <t>Pipe from CW to Tower</t>
  </si>
  <si>
    <t>ELEVATED WATER TOWER</t>
  </si>
  <si>
    <t>TO DISTRIBUTION</t>
  </si>
  <si>
    <t>CLEARWELL</t>
  </si>
  <si>
    <t>%</t>
  </si>
  <si>
    <t>4 Hr Forecast (Cl Only)</t>
  </si>
  <si>
    <r>
      <t xml:space="preserve">A Filtration Credit can been applied for use in calculating total reduction of Giardia and Viruses.  In order to be considered conventional filtration and claim the 2.5 log Giardia cyst removal and 2 log virus removal credit, the filtration process must meet the following criteria:
    * use a chemical coagulant at all times when the treatment plant is in operation;
    * monitor and adjust chemical dosages in response to variations in raw water quality;
    * maintain effective backwash procedures, including filter-to-waste or an equivalent procedure during filter ripening to ensure that the effluent turbidity requirements are met at all times;
    * continuously monitor filtrate turbidity from each filter; and
    * meet the performance criterion for filtered water turbidity of less than or equal to 0.3 NTU in 95% of the measurements each month.
When this Filtration Credit is being met, the target Log-Inactivation for this CT Calculator is </t>
    </r>
    <r>
      <rPr>
        <b/>
        <sz val="10"/>
        <color theme="1"/>
        <rFont val="Arial"/>
        <family val="2"/>
      </rPr>
      <t>0.5 for Giardia, and 2 for Viruses.</t>
    </r>
  </si>
  <si>
    <t>CT Achieved</t>
  </si>
  <si>
    <t>CT Required</t>
  </si>
  <si>
    <t>Target Log-Inactivation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</si>
</sst>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numFmt numFmtId="165" formatCode="0.000000"/>
    <numFmt numFmtId="166" formatCode="0.0"/>
  </numFmts>
  <fonts count="21" x14ac:knownFonts="1">
    <font>
      <sz val="11"/>
      <color theme="1"/>
      <name val="Calibri"/>
      <family val="2"/>
      <scheme val="minor"/>
    </font>
    <font>
      <sz val="10"/>
      <color theme="1"/>
      <name val="Arial"/>
      <family val="2"/>
    </font>
    <font>
      <sz val="10"/>
      <color theme="1"/>
      <name val="Arial"/>
      <family val="2"/>
    </font>
    <font>
      <b/>
      <sz val="11"/>
      <color theme="1"/>
      <name val="Calibri"/>
      <family val="2"/>
      <scheme val="minor"/>
    </font>
    <font>
      <sz val="10"/>
      <name val="Arial"/>
      <family val="2"/>
    </font>
    <font>
      <b/>
      <u/>
      <sz val="10"/>
      <name val="Arial"/>
      <family val="2"/>
    </font>
    <font>
      <b/>
      <sz val="10"/>
      <name val="Arial"/>
      <family val="2"/>
    </font>
    <font>
      <b/>
      <vertAlign val="superscript"/>
      <sz val="10"/>
      <name val="Arial"/>
      <family val="2"/>
    </font>
    <font>
      <b/>
      <sz val="11"/>
      <name val="Arial"/>
      <family val="2"/>
    </font>
    <font>
      <b/>
      <vertAlign val="subscript"/>
      <sz val="10"/>
      <name val="Arial"/>
      <family val="2"/>
    </font>
    <font>
      <i/>
      <sz val="10"/>
      <name val="Arial"/>
      <family val="2"/>
    </font>
    <font>
      <vertAlign val="superscript"/>
      <sz val="10"/>
      <name val="Arial"/>
      <family val="2"/>
    </font>
    <font>
      <sz val="10"/>
      <color theme="1"/>
      <name val="Arial"/>
      <family val="2"/>
    </font>
    <font>
      <b/>
      <sz val="8"/>
      <color indexed="81"/>
      <name val="Tahoma"/>
      <family val="2"/>
    </font>
    <font>
      <sz val="8"/>
      <color indexed="81"/>
      <name val="Tahoma"/>
      <family val="2"/>
    </font>
    <font>
      <vertAlign val="superscript"/>
      <sz val="11"/>
      <color theme="1"/>
      <name val="Calibri"/>
      <family val="2"/>
      <scheme val="minor"/>
    </font>
    <font>
      <sz val="11"/>
      <color theme="1"/>
      <name val="Calibri"/>
      <family val="2"/>
      <scheme val="minor"/>
    </font>
    <font>
      <sz val="10"/>
      <color indexed="22"/>
      <name val="Arial"/>
      <family val="2"/>
    </font>
    <font>
      <b/>
      <sz val="10"/>
      <color theme="1"/>
      <name val="Arial"/>
      <family val="2"/>
    </font>
    <font>
      <b/>
      <sz val="11"/>
      <name val="Calibri"/>
      <family val="2"/>
      <scheme val="minor"/>
    </font>
    <font>
      <sz val="11"/>
      <name val="Calibri"/>
      <family val="2"/>
      <scheme val="minor"/>
    </font>
  </fonts>
  <fills count="9">
    <fill>
      <patternFill patternType="none"/>
    </fill>
    <fill>
      <patternFill patternType="gray125"/>
    </fill>
    <fill>
      <patternFill patternType="solid">
        <fgColor rgb="FF99CCFF"/>
        <bgColor indexed="64"/>
      </patternFill>
    </fill>
    <fill>
      <patternFill patternType="solid">
        <fgColor indexed="44"/>
        <bgColor indexed="64"/>
      </patternFill>
    </fill>
    <fill>
      <patternFill patternType="solid">
        <fgColor indexed="9"/>
        <bgColor indexed="64"/>
      </patternFill>
    </fill>
    <fill>
      <patternFill patternType="solid">
        <fgColor indexed="22"/>
        <bgColor indexed="64"/>
      </patternFill>
    </fill>
    <fill>
      <patternFill patternType="solid">
        <fgColor rgb="FFCCFFCC"/>
        <bgColor indexed="64"/>
      </patternFill>
    </fill>
    <fill>
      <patternFill patternType="solid">
        <fgColor indexed="42"/>
        <bgColor indexed="64"/>
      </patternFill>
    </fill>
    <fill>
      <patternFill patternType="solid">
        <fgColor theme="0" tint="-0.34998626667073579"/>
        <bgColor indexed="64"/>
      </patternFill>
    </fill>
  </fills>
  <borders count="5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s>
  <cellStyleXfs count="2">
    <xf numFmtId="0" fontId="0" fillId="0" borderId="0"/>
    <xf numFmtId="9" fontId="16" fillId="0" borderId="0" applyFont="0" applyFill="0" applyBorder="0" applyAlignment="0" applyProtection="0"/>
  </cellStyleXfs>
  <cellXfs count="198">
    <xf numFmtId="0" fontId="0" fillId="0" borderId="0" xfId="0"/>
    <xf numFmtId="0" fontId="8" fillId="0" borderId="0" xfId="0" applyFont="1"/>
    <xf numFmtId="0" fontId="6" fillId="0" borderId="0" xfId="0" applyFont="1"/>
    <xf numFmtId="0" fontId="0" fillId="0" borderId="0" xfId="0" applyBorder="1"/>
    <xf numFmtId="0" fontId="6" fillId="0" borderId="9" xfId="0" applyFont="1" applyFill="1" applyBorder="1" applyAlignment="1">
      <alignment horizontal="center"/>
    </xf>
    <xf numFmtId="0" fontId="6" fillId="0" borderId="10" xfId="0" applyFont="1" applyBorder="1"/>
    <xf numFmtId="0" fontId="7" fillId="0" borderId="11" xfId="0" applyFont="1" applyBorder="1"/>
    <xf numFmtId="0" fontId="5" fillId="4" borderId="1" xfId="0" applyFont="1" applyFill="1" applyBorder="1" applyAlignment="1"/>
    <xf numFmtId="0" fontId="0" fillId="0" borderId="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3" xfId="0" applyBorder="1" applyAlignment="1">
      <alignment horizontal="center"/>
    </xf>
    <xf numFmtId="0" fontId="6" fillId="4" borderId="14" xfId="0" applyFont="1" applyFill="1" applyBorder="1" applyAlignment="1">
      <alignment horizontal="center"/>
    </xf>
    <xf numFmtId="0" fontId="0" fillId="4" borderId="15" xfId="0" applyFill="1" applyBorder="1" applyAlignment="1">
      <alignment horizontal="center"/>
    </xf>
    <xf numFmtId="0" fontId="0" fillId="4" borderId="16" xfId="0" applyFill="1" applyBorder="1" applyAlignment="1">
      <alignment horizontal="center"/>
    </xf>
    <xf numFmtId="0" fontId="0" fillId="4" borderId="17" xfId="0" applyFill="1" applyBorder="1" applyAlignment="1">
      <alignment horizontal="center"/>
    </xf>
    <xf numFmtId="0" fontId="6" fillId="0" borderId="18" xfId="0" applyFont="1" applyBorder="1" applyAlignment="1">
      <alignment horizontal="center" vertical="center" wrapText="1"/>
    </xf>
    <xf numFmtId="0" fontId="4" fillId="0" borderId="0" xfId="0" applyFont="1" applyBorder="1" applyAlignment="1">
      <alignment horizontal="center" vertical="center" wrapText="1"/>
    </xf>
    <xf numFmtId="0" fontId="0" fillId="0" borderId="19" xfId="0" applyBorder="1" applyAlignment="1">
      <alignment horizontal="center" vertical="center"/>
    </xf>
    <xf numFmtId="0" fontId="0" fillId="0" borderId="20" xfId="0" applyBorder="1" applyAlignment="1">
      <alignment horizontal="center"/>
    </xf>
    <xf numFmtId="0" fontId="0" fillId="0" borderId="21" xfId="0" applyBorder="1" applyAlignment="1">
      <alignment horizontal="center"/>
    </xf>
    <xf numFmtId="0" fontId="0" fillId="0" borderId="20" xfId="0" applyFill="1" applyBorder="1" applyAlignment="1">
      <alignment horizontal="center"/>
    </xf>
    <xf numFmtId="0" fontId="0" fillId="0" borderId="22" xfId="0" applyFill="1" applyBorder="1" applyAlignment="1">
      <alignment horizontal="center"/>
    </xf>
    <xf numFmtId="0" fontId="0" fillId="5" borderId="23" xfId="0" applyFill="1" applyBorder="1" applyAlignment="1">
      <alignment horizontal="center"/>
    </xf>
    <xf numFmtId="164" fontId="0" fillId="5" borderId="0" xfId="0" applyNumberFormat="1" applyFill="1" applyBorder="1" applyAlignment="1"/>
    <xf numFmtId="164" fontId="0" fillId="5" borderId="5" xfId="0" applyNumberFormat="1" applyFill="1" applyBorder="1" applyAlignment="1"/>
    <xf numFmtId="0" fontId="0" fillId="0" borderId="24" xfId="0" applyBorder="1" applyAlignment="1">
      <alignment horizontal="center"/>
    </xf>
    <xf numFmtId="0" fontId="4" fillId="0" borderId="25" xfId="0" applyFont="1" applyBorder="1" applyAlignment="1">
      <alignment horizontal="center" vertical="center" wrapText="1"/>
    </xf>
    <xf numFmtId="0" fontId="4" fillId="0" borderId="24" xfId="0" applyFont="1" applyBorder="1" applyAlignment="1">
      <alignment horizontal="center"/>
    </xf>
    <xf numFmtId="165" fontId="4" fillId="0" borderId="24" xfId="0" applyNumberFormat="1" applyFont="1" applyBorder="1"/>
    <xf numFmtId="0" fontId="0" fillId="0" borderId="0" xfId="0" applyBorder="1" applyAlignment="1">
      <alignment horizontal="center"/>
    </xf>
    <xf numFmtId="0" fontId="0" fillId="0" borderId="26" xfId="0" applyBorder="1"/>
    <xf numFmtId="0" fontId="0" fillId="0" borderId="27"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0" fillId="4" borderId="28" xfId="0" applyFill="1" applyBorder="1" applyAlignment="1">
      <alignment horizontal="center"/>
    </xf>
    <xf numFmtId="164" fontId="0" fillId="4" borderId="29" xfId="0" applyNumberFormat="1" applyFill="1" applyBorder="1"/>
    <xf numFmtId="164" fontId="0" fillId="4" borderId="30" xfId="0" applyNumberFormat="1" applyFill="1" applyBorder="1"/>
    <xf numFmtId="164" fontId="0" fillId="4" borderId="31" xfId="0" applyNumberFormat="1" applyFill="1" applyBorder="1"/>
    <xf numFmtId="0" fontId="4" fillId="0" borderId="24" xfId="0" applyFont="1" applyBorder="1" applyAlignment="1">
      <alignment horizontal="center" vertical="center" wrapText="1"/>
    </xf>
    <xf numFmtId="0" fontId="4" fillId="0" borderId="4" xfId="0" applyFont="1" applyBorder="1" applyAlignment="1">
      <alignment horizontal="center"/>
    </xf>
    <xf numFmtId="165" fontId="4" fillId="0" borderId="32" xfId="0" applyNumberFormat="1" applyFont="1" applyBorder="1" applyAlignment="1">
      <alignment horizontal="center"/>
    </xf>
    <xf numFmtId="0" fontId="4" fillId="0" borderId="33" xfId="0" applyFont="1" applyBorder="1" applyAlignment="1">
      <alignment horizontal="center"/>
    </xf>
    <xf numFmtId="0" fontId="4" fillId="0" borderId="32" xfId="0" applyFont="1" applyBorder="1" applyAlignment="1">
      <alignment horizontal="center"/>
    </xf>
    <xf numFmtId="0" fontId="4" fillId="0" borderId="5" xfId="0" applyFont="1" applyBorder="1" applyAlignment="1">
      <alignment horizontal="center"/>
    </xf>
    <xf numFmtId="164" fontId="0" fillId="5" borderId="29" xfId="0" applyNumberFormat="1" applyFill="1" applyBorder="1"/>
    <xf numFmtId="164" fontId="0" fillId="5" borderId="30" xfId="0" applyNumberFormat="1" applyFill="1" applyBorder="1"/>
    <xf numFmtId="164" fontId="0" fillId="5" borderId="31" xfId="0" applyNumberFormat="1" applyFill="1" applyBorder="1"/>
    <xf numFmtId="0" fontId="0" fillId="0" borderId="4" xfId="0" applyBorder="1" applyAlignment="1">
      <alignment horizontal="center"/>
    </xf>
    <xf numFmtId="165" fontId="0" fillId="0" borderId="32" xfId="0" applyNumberForma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0" fontId="0" fillId="0" borderId="5" xfId="0" applyBorder="1" applyAlignment="1">
      <alignment horizontal="center"/>
    </xf>
    <xf numFmtId="0" fontId="0" fillId="0" borderId="5" xfId="0" applyBorder="1"/>
    <xf numFmtId="0" fontId="0" fillId="5" borderId="34" xfId="0" applyFill="1" applyBorder="1" applyAlignment="1">
      <alignment horizontal="center"/>
    </xf>
    <xf numFmtId="164" fontId="0" fillId="5" borderId="7" xfId="0" applyNumberFormat="1" applyFill="1" applyBorder="1"/>
    <xf numFmtId="164" fontId="0" fillId="5" borderId="8" xfId="0" applyNumberFormat="1" applyFill="1" applyBorder="1"/>
    <xf numFmtId="0" fontId="0" fillId="0" borderId="6"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8" xfId="0" applyBorder="1" applyAlignment="1">
      <alignment horizontal="center"/>
    </xf>
    <xf numFmtId="0" fontId="0" fillId="0" borderId="33" xfId="0" applyBorder="1"/>
    <xf numFmtId="0" fontId="0" fillId="0" borderId="32" xfId="0" applyFill="1" applyBorder="1" applyAlignment="1">
      <alignment horizontal="center"/>
    </xf>
    <xf numFmtId="0" fontId="0" fillId="0" borderId="5" xfId="0" applyFill="1" applyBorder="1" applyAlignment="1">
      <alignment horizontal="center"/>
    </xf>
    <xf numFmtId="165" fontId="0" fillId="0" borderId="24" xfId="0" applyNumberFormat="1" applyBorder="1"/>
    <xf numFmtId="0" fontId="0" fillId="0" borderId="26" xfId="0" applyBorder="1" applyAlignment="1">
      <alignment horizontal="center"/>
    </xf>
    <xf numFmtId="0" fontId="0" fillId="0" borderId="24" xfId="0" applyBorder="1"/>
    <xf numFmtId="0" fontId="0" fillId="0" borderId="4" xfId="0" applyBorder="1"/>
    <xf numFmtId="0" fontId="0" fillId="0" borderId="7" xfId="0" applyBorder="1" applyAlignment="1">
      <alignment horizontal="center"/>
    </xf>
    <xf numFmtId="0" fontId="0" fillId="0" borderId="8" xfId="0" applyBorder="1"/>
    <xf numFmtId="164" fontId="0" fillId="0" borderId="5" xfId="0" applyNumberFormat="1" applyBorder="1" applyAlignment="1">
      <alignment horizontal="center"/>
    </xf>
    <xf numFmtId="164" fontId="0" fillId="0" borderId="8" xfId="0" applyNumberFormat="1" applyBorder="1" applyAlignment="1">
      <alignment horizontal="center"/>
    </xf>
    <xf numFmtId="0" fontId="6" fillId="0" borderId="0" xfId="0" applyFont="1" applyBorder="1"/>
    <xf numFmtId="0" fontId="0" fillId="0" borderId="37" xfId="0" applyBorder="1" applyAlignment="1">
      <alignment horizontal="center"/>
    </xf>
    <xf numFmtId="0" fontId="0" fillId="0" borderId="37" xfId="0" applyBorder="1"/>
    <xf numFmtId="0" fontId="0" fillId="0" borderId="0" xfId="0" applyAlignment="1">
      <alignment horizontal="center"/>
    </xf>
    <xf numFmtId="0" fontId="0" fillId="0" borderId="16" xfId="0" applyBorder="1" applyAlignment="1">
      <alignment horizontal="center"/>
    </xf>
    <xf numFmtId="0" fontId="0" fillId="0" borderId="24" xfId="0" applyFill="1" applyBorder="1" applyAlignment="1">
      <alignment horizontal="center"/>
    </xf>
    <xf numFmtId="0" fontId="0" fillId="0" borderId="0" xfId="0" applyFill="1" applyBorder="1" applyAlignment="1">
      <alignment horizontal="center"/>
    </xf>
    <xf numFmtId="0" fontId="3" fillId="0" borderId="0" xfId="0" applyFont="1"/>
    <xf numFmtId="0" fontId="0" fillId="6" borderId="0" xfId="0" applyFill="1"/>
    <xf numFmtId="0" fontId="0" fillId="0" borderId="18" xfId="0" applyBorder="1" applyAlignment="1">
      <alignment horizontal="center" vertical="center"/>
    </xf>
    <xf numFmtId="0" fontId="0" fillId="0" borderId="25" xfId="0" applyBorder="1" applyAlignment="1">
      <alignment horizontal="center"/>
    </xf>
    <xf numFmtId="49" fontId="0" fillId="0" borderId="25" xfId="0" applyNumberFormat="1" applyBorder="1" applyAlignment="1">
      <alignment horizontal="center"/>
    </xf>
    <xf numFmtId="0" fontId="0" fillId="0" borderId="18" xfId="0" applyBorder="1"/>
    <xf numFmtId="49" fontId="0" fillId="0" borderId="24" xfId="0" applyNumberFormat="1" applyBorder="1" applyAlignment="1">
      <alignment horizontal="center"/>
    </xf>
    <xf numFmtId="49" fontId="0" fillId="0" borderId="37" xfId="0" applyNumberFormat="1" applyBorder="1" applyAlignment="1">
      <alignment horizontal="center"/>
    </xf>
    <xf numFmtId="49" fontId="0" fillId="0" borderId="0" xfId="0" applyNumberFormat="1"/>
    <xf numFmtId="0" fontId="5" fillId="0" borderId="0" xfId="0" applyFont="1" applyAlignment="1" applyProtection="1">
      <alignment horizontal="center"/>
    </xf>
    <xf numFmtId="0" fontId="6" fillId="0" borderId="0" xfId="0" applyFont="1" applyAlignment="1" applyProtection="1">
      <alignment horizontal="left" vertical="top"/>
    </xf>
    <xf numFmtId="0" fontId="10" fillId="0" borderId="0" xfId="0" applyFont="1" applyAlignment="1" applyProtection="1"/>
    <xf numFmtId="0" fontId="6" fillId="0" borderId="0" xfId="0" applyFont="1" applyAlignment="1" applyProtection="1">
      <alignment wrapText="1"/>
    </xf>
    <xf numFmtId="166" fontId="6" fillId="0" borderId="0" xfId="0" applyNumberFormat="1" applyFont="1" applyFill="1" applyAlignment="1" applyProtection="1">
      <alignment horizontal="left" vertical="top"/>
    </xf>
    <xf numFmtId="166" fontId="6" fillId="0" borderId="0" xfId="0" applyNumberFormat="1" applyFont="1" applyAlignment="1" applyProtection="1">
      <alignment horizontal="left" vertical="top"/>
    </xf>
    <xf numFmtId="0" fontId="6" fillId="0" borderId="0" xfId="0" applyFont="1" applyFill="1" applyAlignment="1" applyProtection="1">
      <alignment horizontal="left" vertical="top"/>
    </xf>
    <xf numFmtId="0" fontId="6" fillId="0" borderId="0" xfId="0" applyFont="1" applyAlignment="1" applyProtection="1">
      <alignment horizontal="left" vertical="top"/>
      <protection locked="0"/>
    </xf>
    <xf numFmtId="0" fontId="6" fillId="0" borderId="0" xfId="0" applyFont="1" applyAlignment="1" applyProtection="1">
      <alignment wrapText="1"/>
      <protection locked="0"/>
    </xf>
    <xf numFmtId="0" fontId="12" fillId="0" borderId="0" xfId="0" applyFont="1" applyProtection="1"/>
    <xf numFmtId="0" fontId="12" fillId="0" borderId="0" xfId="0" applyFont="1" applyProtection="1">
      <protection locked="0"/>
    </xf>
    <xf numFmtId="0" fontId="12" fillId="0" borderId="0" xfId="0" applyFont="1" applyAlignment="1" applyProtection="1">
      <alignment wrapText="1"/>
    </xf>
    <xf numFmtId="14" fontId="12" fillId="0" borderId="0" xfId="0" applyNumberFormat="1" applyFont="1" applyProtection="1"/>
    <xf numFmtId="0" fontId="12" fillId="0" borderId="0" xfId="0" applyFont="1" applyAlignment="1" applyProtection="1">
      <alignment wrapText="1"/>
      <protection locked="0"/>
    </xf>
    <xf numFmtId="0" fontId="12" fillId="0" borderId="0" xfId="0" applyFont="1" applyAlignment="1" applyProtection="1">
      <alignment vertical="top" wrapText="1"/>
    </xf>
    <xf numFmtId="0" fontId="12" fillId="7" borderId="0" xfId="0" applyFont="1" applyFill="1" applyProtection="1"/>
    <xf numFmtId="0" fontId="12" fillId="3" borderId="0" xfId="0" applyFont="1" applyFill="1" applyAlignment="1" applyProtection="1">
      <alignment vertical="top" wrapText="1"/>
    </xf>
    <xf numFmtId="0" fontId="12" fillId="0" borderId="0" xfId="0" applyFont="1" applyAlignment="1" applyProtection="1">
      <alignment horizontal="center" wrapText="1"/>
    </xf>
    <xf numFmtId="0" fontId="12" fillId="0" borderId="0" xfId="0" applyFont="1" applyAlignment="1" applyProtection="1">
      <alignment horizontal="left" wrapText="1"/>
    </xf>
    <xf numFmtId="0" fontId="12" fillId="0" borderId="0" xfId="0" applyFont="1" applyAlignment="1" applyProtection="1">
      <alignment horizontal="center" vertical="top" wrapText="1"/>
    </xf>
    <xf numFmtId="0" fontId="6" fillId="0" borderId="34" xfId="0" applyFont="1" applyBorder="1"/>
    <xf numFmtId="0" fontId="6" fillId="0" borderId="41" xfId="0" applyFont="1" applyBorder="1"/>
    <xf numFmtId="0" fontId="6" fillId="0" borderId="39" xfId="0" applyFont="1" applyBorder="1" applyAlignment="1">
      <alignment horizontal="center"/>
    </xf>
    <xf numFmtId="0" fontId="6" fillId="0" borderId="39" xfId="0" applyFont="1" applyFill="1" applyBorder="1" applyAlignment="1">
      <alignment horizontal="center"/>
    </xf>
    <xf numFmtId="0" fontId="6" fillId="0" borderId="40" xfId="0" applyFont="1" applyFill="1" applyBorder="1" applyAlignment="1">
      <alignment horizontal="center"/>
    </xf>
    <xf numFmtId="0" fontId="6" fillId="0" borderId="41" xfId="0" applyFont="1" applyBorder="1" applyAlignment="1">
      <alignment horizontal="center"/>
    </xf>
    <xf numFmtId="0" fontId="6" fillId="0" borderId="41" xfId="0" applyFont="1" applyFill="1" applyBorder="1" applyAlignment="1">
      <alignment horizontal="center"/>
    </xf>
    <xf numFmtId="0" fontId="6" fillId="0" borderId="42" xfId="0" applyFont="1" applyFill="1" applyBorder="1" applyAlignment="1">
      <alignment horizontal="center"/>
    </xf>
    <xf numFmtId="0" fontId="6" fillId="0" borderId="38" xfId="0" applyFont="1" applyBorder="1" applyAlignment="1">
      <alignment horizontal="left"/>
    </xf>
    <xf numFmtId="0" fontId="6" fillId="0" borderId="39" xfId="0" applyFont="1" applyBorder="1" applyAlignment="1">
      <alignment horizontal="left"/>
    </xf>
    <xf numFmtId="0" fontId="0" fillId="2" borderId="18" xfId="0" applyFill="1" applyBorder="1"/>
    <xf numFmtId="0" fontId="0" fillId="2" borderId="0" xfId="0" applyFill="1"/>
    <xf numFmtId="0" fontId="0" fillId="0" borderId="12" xfId="0" applyBorder="1"/>
    <xf numFmtId="0" fontId="0" fillId="0" borderId="32" xfId="0" applyBorder="1"/>
    <xf numFmtId="0" fontId="6" fillId="0" borderId="44" xfId="0" applyFont="1" applyBorder="1" applyAlignment="1">
      <alignment horizontal="center"/>
    </xf>
    <xf numFmtId="0" fontId="6" fillId="0" borderId="45" xfId="0" applyFont="1" applyBorder="1" applyAlignment="1">
      <alignment horizontal="center"/>
    </xf>
    <xf numFmtId="0" fontId="5" fillId="0" borderId="0" xfId="0" applyFont="1"/>
    <xf numFmtId="0" fontId="0" fillId="0" borderId="0" xfId="0" applyProtection="1"/>
    <xf numFmtId="0" fontId="0" fillId="2" borderId="8" xfId="0" applyFill="1" applyBorder="1"/>
    <xf numFmtId="0" fontId="0" fillId="0" borderId="2" xfId="0" applyBorder="1"/>
    <xf numFmtId="0" fontId="4" fillId="0" borderId="0" xfId="0" applyFont="1" applyBorder="1" applyAlignment="1">
      <alignment horizontal="center"/>
    </xf>
    <xf numFmtId="0" fontId="0" fillId="2" borderId="46" xfId="0" applyFill="1" applyBorder="1"/>
    <xf numFmtId="0" fontId="17" fillId="4" borderId="9" xfId="0" applyFont="1" applyFill="1" applyBorder="1" applyAlignment="1"/>
    <xf numFmtId="0" fontId="17" fillId="4" borderId="10" xfId="0" applyFont="1" applyFill="1" applyBorder="1" applyAlignment="1"/>
    <xf numFmtId="0" fontId="17" fillId="4" borderId="11" xfId="0" applyFont="1" applyFill="1" applyBorder="1" applyAlignment="1"/>
    <xf numFmtId="0" fontId="3" fillId="0" borderId="0" xfId="0" applyFont="1" applyAlignment="1">
      <alignment horizontal="right"/>
    </xf>
    <xf numFmtId="0" fontId="0" fillId="8" borderId="1" xfId="0" applyFill="1" applyBorder="1" applyAlignment="1"/>
    <xf numFmtId="0" fontId="0" fillId="8" borderId="2" xfId="0" applyFill="1" applyBorder="1" applyAlignment="1"/>
    <xf numFmtId="0" fontId="0" fillId="8" borderId="3" xfId="0" applyFill="1" applyBorder="1" applyAlignment="1"/>
    <xf numFmtId="0" fontId="0" fillId="8" borderId="4" xfId="0" applyFill="1" applyBorder="1" applyAlignment="1"/>
    <xf numFmtId="0" fontId="0" fillId="8" borderId="0" xfId="0" applyFill="1" applyBorder="1" applyAlignment="1"/>
    <xf numFmtId="0" fontId="0" fillId="8" borderId="5" xfId="0" applyFill="1" applyBorder="1" applyAlignment="1"/>
    <xf numFmtId="0" fontId="0" fillId="8" borderId="1" xfId="0" applyFill="1" applyBorder="1"/>
    <xf numFmtId="0" fontId="0" fillId="8" borderId="2" xfId="0" applyFill="1" applyBorder="1"/>
    <xf numFmtId="0" fontId="0" fillId="8" borderId="3" xfId="0" applyFill="1" applyBorder="1"/>
    <xf numFmtId="0" fontId="0" fillId="8" borderId="4" xfId="0" applyFill="1" applyBorder="1"/>
    <xf numFmtId="0" fontId="0" fillId="8" borderId="0" xfId="0" applyFill="1" applyBorder="1"/>
    <xf numFmtId="0" fontId="0" fillId="8" borderId="5" xfId="0" applyFill="1" applyBorder="1"/>
    <xf numFmtId="0" fontId="0" fillId="8" borderId="6" xfId="0" applyFill="1" applyBorder="1"/>
    <xf numFmtId="0" fontId="0" fillId="8" borderId="7" xfId="0" applyFill="1" applyBorder="1"/>
    <xf numFmtId="0" fontId="0" fillId="8" borderId="8" xfId="0" applyFill="1" applyBorder="1"/>
    <xf numFmtId="0" fontId="6" fillId="0" borderId="52" xfId="0" applyFont="1" applyBorder="1" applyAlignment="1">
      <alignment horizontal="center"/>
    </xf>
    <xf numFmtId="0" fontId="6" fillId="0" borderId="50" xfId="0" applyFont="1" applyBorder="1" applyAlignment="1">
      <alignment horizontal="center"/>
    </xf>
    <xf numFmtId="0" fontId="0" fillId="2" borderId="23" xfId="0" applyFill="1" applyBorder="1"/>
    <xf numFmtId="0" fontId="4" fillId="2" borderId="34" xfId="0" applyFont="1" applyFill="1" applyBorder="1"/>
    <xf numFmtId="0" fontId="0" fillId="2" borderId="41" xfId="0" applyFill="1" applyBorder="1"/>
    <xf numFmtId="2" fontId="0" fillId="2" borderId="49" xfId="0" applyNumberFormat="1" applyFill="1" applyBorder="1" applyProtection="1">
      <protection locked="0"/>
    </xf>
    <xf numFmtId="0" fontId="0" fillId="2" borderId="49" xfId="0" applyFill="1" applyBorder="1" applyProtection="1">
      <protection locked="0"/>
    </xf>
    <xf numFmtId="2" fontId="0" fillId="2" borderId="51" xfId="1" applyNumberFormat="1" applyFont="1" applyFill="1" applyBorder="1" applyProtection="1">
      <protection locked="0"/>
    </xf>
    <xf numFmtId="0" fontId="0" fillId="2" borderId="43" xfId="0" applyFill="1" applyBorder="1" applyAlignment="1" applyProtection="1">
      <alignment horizontal="center"/>
      <protection locked="0"/>
    </xf>
    <xf numFmtId="0" fontId="0" fillId="2" borderId="42" xfId="0" applyFill="1" applyBorder="1" applyAlignment="1" applyProtection="1">
      <alignment horizontal="center"/>
      <protection locked="0"/>
    </xf>
    <xf numFmtId="2" fontId="0" fillId="2" borderId="53" xfId="1" applyNumberFormat="1" applyFont="1" applyFill="1" applyBorder="1" applyProtection="1">
      <protection locked="0"/>
    </xf>
    <xf numFmtId="2" fontId="0" fillId="6" borderId="41" xfId="0" applyNumberFormat="1" applyFont="1" applyFill="1" applyBorder="1" applyAlignment="1">
      <alignment horizontal="center"/>
    </xf>
    <xf numFmtId="0" fontId="20" fillId="6" borderId="39" xfId="0" applyFont="1" applyFill="1" applyBorder="1" applyAlignment="1">
      <alignment horizontal="center"/>
    </xf>
    <xf numFmtId="1" fontId="0" fillId="6" borderId="18" xfId="0" applyNumberFormat="1" applyFont="1" applyFill="1" applyBorder="1" applyAlignment="1">
      <alignment horizontal="center"/>
    </xf>
    <xf numFmtId="0" fontId="0" fillId="0" borderId="0" xfId="0" applyFill="1" applyBorder="1"/>
    <xf numFmtId="2" fontId="0" fillId="0" borderId="0" xfId="1" applyNumberFormat="1" applyFont="1" applyFill="1" applyBorder="1" applyAlignment="1" applyProtection="1">
      <protection locked="0"/>
    </xf>
    <xf numFmtId="0" fontId="6" fillId="0" borderId="47" xfId="0" applyFont="1" applyBorder="1" applyAlignment="1">
      <alignment horizontal="center"/>
    </xf>
    <xf numFmtId="0" fontId="6" fillId="0" borderId="48" xfId="0" applyFont="1" applyBorder="1" applyAlignment="1">
      <alignment horizontal="center"/>
    </xf>
    <xf numFmtId="0" fontId="0" fillId="2" borderId="47" xfId="0" applyFill="1" applyBorder="1" applyAlignment="1">
      <alignment horizontal="center"/>
    </xf>
    <xf numFmtId="0" fontId="0" fillId="2" borderId="54" xfId="0" applyFill="1" applyBorder="1" applyAlignment="1">
      <alignment horizontal="center"/>
    </xf>
    <xf numFmtId="0" fontId="0" fillId="2" borderId="48" xfId="0" applyFill="1" applyBorder="1" applyAlignment="1">
      <alignment horizontal="center"/>
    </xf>
    <xf numFmtId="1" fontId="20" fillId="6" borderId="29" xfId="0" applyNumberFormat="1" applyFont="1" applyFill="1" applyBorder="1" applyAlignment="1">
      <alignment horizontal="center"/>
    </xf>
    <xf numFmtId="1" fontId="20" fillId="6" borderId="31" xfId="0" applyNumberFormat="1" applyFont="1" applyFill="1" applyBorder="1" applyAlignment="1">
      <alignment horizontal="center"/>
    </xf>
    <xf numFmtId="1" fontId="20" fillId="6" borderId="18" xfId="0" applyNumberFormat="1" applyFont="1" applyFill="1" applyBorder="1" applyAlignment="1">
      <alignment horizontal="center"/>
    </xf>
    <xf numFmtId="1" fontId="20" fillId="6" borderId="43" xfId="0" applyNumberFormat="1" applyFont="1" applyFill="1" applyBorder="1" applyAlignment="1">
      <alignment horizontal="center"/>
    </xf>
    <xf numFmtId="0" fontId="19" fillId="6" borderId="56" xfId="0" applyFont="1" applyFill="1" applyBorder="1" applyAlignment="1">
      <alignment horizontal="left"/>
    </xf>
    <xf numFmtId="0" fontId="19" fillId="6" borderId="30" xfId="0" applyFont="1" applyFill="1" applyBorder="1" applyAlignment="1">
      <alignment horizontal="left"/>
    </xf>
    <xf numFmtId="0" fontId="20" fillId="6" borderId="37" xfId="0" applyFont="1" applyFill="1" applyBorder="1" applyAlignment="1">
      <alignment horizontal="center"/>
    </xf>
    <xf numFmtId="0" fontId="20" fillId="6" borderId="55" xfId="0" applyFont="1" applyFill="1" applyBorder="1" applyAlignment="1">
      <alignment horizontal="center"/>
    </xf>
    <xf numFmtId="2" fontId="20" fillId="6" borderId="41" xfId="0" applyNumberFormat="1" applyFont="1" applyFill="1" applyBorder="1" applyAlignment="1">
      <alignment horizontal="center"/>
    </xf>
    <xf numFmtId="2" fontId="20" fillId="6" borderId="42" xfId="0" applyNumberFormat="1" applyFont="1" applyFill="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19" fillId="6" borderId="49" xfId="0" applyFont="1" applyFill="1" applyBorder="1" applyAlignment="1">
      <alignment horizontal="left"/>
    </xf>
    <xf numFmtId="0" fontId="19" fillId="6" borderId="57" xfId="0" applyFont="1" applyFill="1" applyBorder="1" applyAlignment="1">
      <alignment horizontal="left"/>
    </xf>
    <xf numFmtId="0" fontId="19" fillId="6" borderId="9" xfId="0" applyFont="1" applyFill="1" applyBorder="1" applyAlignment="1">
      <alignment horizontal="center" wrapText="1"/>
    </xf>
    <xf numFmtId="0" fontId="19" fillId="6" borderId="10" xfId="0" applyFont="1" applyFill="1" applyBorder="1" applyAlignment="1">
      <alignment horizontal="center" wrapText="1"/>
    </xf>
    <xf numFmtId="0" fontId="19" fillId="6" borderId="11" xfId="0" applyFont="1" applyFill="1" applyBorder="1" applyAlignment="1">
      <alignment horizontal="center" wrapText="1"/>
    </xf>
    <xf numFmtId="0" fontId="19" fillId="6" borderId="47" xfId="0" applyFont="1" applyFill="1" applyBorder="1" applyAlignment="1">
      <alignment horizontal="left"/>
    </xf>
    <xf numFmtId="0" fontId="19" fillId="6" borderId="54" xfId="0" applyFont="1" applyFill="1" applyBorder="1" applyAlignment="1">
      <alignment horizontal="left"/>
    </xf>
    <xf numFmtId="0" fontId="2" fillId="0" borderId="0" xfId="0" applyFont="1" applyAlignment="1" applyProtection="1">
      <alignment horizontal="left" vertical="top" wrapText="1"/>
    </xf>
    <xf numFmtId="0" fontId="12" fillId="0" borderId="0" xfId="0" applyFont="1" applyAlignment="1" applyProtection="1">
      <alignment vertical="top" wrapText="1"/>
      <protection locked="0"/>
    </xf>
    <xf numFmtId="0" fontId="12" fillId="0" borderId="0" xfId="0" applyFont="1" applyAlignment="1" applyProtection="1">
      <alignment vertical="top" wrapText="1"/>
    </xf>
    <xf numFmtId="0" fontId="6" fillId="0" borderId="0" xfId="0" applyFont="1" applyAlignment="1" applyProtection="1">
      <alignment horizontal="center" wrapText="1"/>
    </xf>
    <xf numFmtId="0" fontId="5" fillId="0" borderId="0" xfId="0" applyFont="1" applyAlignment="1" applyProtection="1">
      <alignment horizontal="center"/>
    </xf>
    <xf numFmtId="0" fontId="10" fillId="0" borderId="0" xfId="0" applyFont="1" applyAlignment="1" applyProtection="1">
      <alignment vertical="top" wrapText="1"/>
    </xf>
    <xf numFmtId="0" fontId="6" fillId="4" borderId="2" xfId="0" applyFont="1" applyFill="1" applyBorder="1" applyAlignment="1">
      <alignment horizontal="center"/>
    </xf>
    <xf numFmtId="0" fontId="6" fillId="4" borderId="3" xfId="0" applyFont="1" applyFill="1" applyBorder="1" applyAlignment="1">
      <alignment horizontal="center"/>
    </xf>
    <xf numFmtId="2" fontId="0" fillId="2" borderId="6" xfId="0" applyNumberFormat="1" applyFill="1" applyBorder="1" applyProtection="1">
      <protection locked="0"/>
    </xf>
  </cellXfs>
  <cellStyles count="2">
    <cellStyle name="Normal" xfId="0" builtinId="0"/>
    <cellStyle name="Percent" xfId="1" builtinId="5"/>
  </cellStyles>
  <dxfs count="2">
    <dxf>
      <font>
        <color rgb="FFFFFF00"/>
      </font>
      <fill>
        <patternFill>
          <bgColor rgb="FFFF0000"/>
        </patternFill>
      </fill>
    </dxf>
    <dxf>
      <font>
        <color rgb="FFFFFF00"/>
      </font>
      <fill>
        <patternFill>
          <bgColor rgb="FFFF0000"/>
        </patternFill>
      </fill>
    </dxf>
  </dxfs>
  <tableStyles count="0" defaultTableStyle="TableStyleMedium9" defaultPivotStyle="PivotStyleLight16"/>
  <colors>
    <mruColors>
      <color rgb="FF99CCFF"/>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7491</xdr:colOff>
      <xdr:row>8</xdr:row>
      <xdr:rowOff>199803</xdr:rowOff>
    </xdr:from>
    <xdr:to>
      <xdr:col>9</xdr:col>
      <xdr:colOff>7491</xdr:colOff>
      <xdr:row>14</xdr:row>
      <xdr:rowOff>83954</xdr:rowOff>
    </xdr:to>
    <xdr:cxnSp macro="">
      <xdr:nvCxnSpPr>
        <xdr:cNvPr id="24" name="Straight Connector 23"/>
        <xdr:cNvCxnSpPr/>
      </xdr:nvCxnSpPr>
      <xdr:spPr>
        <a:xfrm rot="5400000">
          <a:off x="2718808" y="1730513"/>
          <a:ext cx="1095187" cy="0"/>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244561</xdr:colOff>
      <xdr:row>11</xdr:row>
      <xdr:rowOff>8533</xdr:rowOff>
    </xdr:from>
    <xdr:to>
      <xdr:col>17</xdr:col>
      <xdr:colOff>295623</xdr:colOff>
      <xdr:row>14</xdr:row>
      <xdr:rowOff>87528</xdr:rowOff>
    </xdr:to>
    <xdr:cxnSp macro="">
      <xdr:nvCxnSpPr>
        <xdr:cNvPr id="32" name="AutoShape 215"/>
        <xdr:cNvCxnSpPr>
          <a:cxnSpLocks noChangeShapeType="1"/>
        </xdr:cNvCxnSpPr>
      </xdr:nvCxnSpPr>
      <xdr:spPr bwMode="auto">
        <a:xfrm flipV="1">
          <a:off x="5418953" y="1468175"/>
          <a:ext cx="879994" cy="671089"/>
        </a:xfrm>
        <a:prstGeom prst="bentConnector3">
          <a:avLst>
            <a:gd name="adj1" fmla="val 80717"/>
          </a:avLst>
        </a:prstGeom>
        <a:noFill/>
        <a:ln w="22225">
          <a:solidFill>
            <a:srgbClr val="000000"/>
          </a:solidFill>
          <a:miter lim="800000"/>
          <a:headEnd/>
          <a:tailEnd/>
        </a:ln>
        <a:effectLst/>
      </xdr:spPr>
    </xdr:cxnSp>
    <xdr:clientData/>
  </xdr:twoCellAnchor>
  <xdr:twoCellAnchor>
    <xdr:from>
      <xdr:col>15</xdr:col>
      <xdr:colOff>129528</xdr:colOff>
      <xdr:row>10</xdr:row>
      <xdr:rowOff>114301</xdr:rowOff>
    </xdr:from>
    <xdr:to>
      <xdr:col>20</xdr:col>
      <xdr:colOff>0</xdr:colOff>
      <xdr:row>15</xdr:row>
      <xdr:rowOff>14312</xdr:rowOff>
    </xdr:to>
    <xdr:grpSp>
      <xdr:nvGrpSpPr>
        <xdr:cNvPr id="101" name="Group 100"/>
        <xdr:cNvGrpSpPr/>
      </xdr:nvGrpSpPr>
      <xdr:grpSpPr>
        <a:xfrm>
          <a:off x="5749278" y="1914526"/>
          <a:ext cx="2527947" cy="928711"/>
          <a:chOff x="6906427" y="304800"/>
          <a:chExt cx="2153698" cy="924984"/>
        </a:xfrm>
      </xdr:grpSpPr>
      <xdr:grpSp>
        <xdr:nvGrpSpPr>
          <xdr:cNvPr id="82" name="Group 81"/>
          <xdr:cNvGrpSpPr/>
        </xdr:nvGrpSpPr>
        <xdr:grpSpPr>
          <a:xfrm>
            <a:off x="7254208" y="304800"/>
            <a:ext cx="1805917" cy="924984"/>
            <a:chOff x="7863854" y="1285875"/>
            <a:chExt cx="1812766" cy="915459"/>
          </a:xfrm>
        </xdr:grpSpPr>
        <xdr:cxnSp macro="">
          <xdr:nvCxnSpPr>
            <xdr:cNvPr id="33" name="AutoShape 211"/>
            <xdr:cNvCxnSpPr>
              <a:cxnSpLocks noChangeShapeType="1"/>
            </xdr:cNvCxnSpPr>
          </xdr:nvCxnSpPr>
          <xdr:spPr bwMode="auto">
            <a:xfrm rot="10800000">
              <a:off x="9048754" y="2079019"/>
              <a:ext cx="627866" cy="1601"/>
            </a:xfrm>
            <a:prstGeom prst="bentConnector3">
              <a:avLst>
                <a:gd name="adj1" fmla="val 50000"/>
              </a:avLst>
            </a:prstGeom>
            <a:noFill/>
            <a:ln w="22225">
              <a:solidFill>
                <a:srgbClr val="000000"/>
              </a:solidFill>
              <a:miter lim="800000"/>
              <a:headEnd/>
              <a:tailEnd type="triangle" w="med" len="med"/>
            </a:ln>
            <a:effectLst/>
          </xdr:spPr>
        </xdr:cxnSp>
        <xdr:cxnSp macro="">
          <xdr:nvCxnSpPr>
            <xdr:cNvPr id="35" name="AutoShape 209"/>
            <xdr:cNvCxnSpPr>
              <a:cxnSpLocks noChangeShapeType="1"/>
            </xdr:cNvCxnSpPr>
          </xdr:nvCxnSpPr>
          <xdr:spPr bwMode="auto">
            <a:xfrm rot="10800000">
              <a:off x="9048752" y="1415974"/>
              <a:ext cx="599267" cy="663222"/>
            </a:xfrm>
            <a:prstGeom prst="bentConnector3">
              <a:avLst>
                <a:gd name="adj1" fmla="val 69233"/>
              </a:avLst>
            </a:prstGeom>
            <a:noFill/>
            <a:ln w="22225">
              <a:solidFill>
                <a:srgbClr val="000000"/>
              </a:solidFill>
              <a:miter lim="800000"/>
              <a:headEnd/>
              <a:tailEnd type="triangle" w="med" len="med"/>
            </a:ln>
            <a:effectLst/>
          </xdr:spPr>
        </xdr:cxnSp>
        <xdr:cxnSp macro="">
          <xdr:nvCxnSpPr>
            <xdr:cNvPr id="36" name="AutoShape 214"/>
            <xdr:cNvCxnSpPr>
              <a:cxnSpLocks noChangeShapeType="1"/>
            </xdr:cNvCxnSpPr>
          </xdr:nvCxnSpPr>
          <xdr:spPr bwMode="auto">
            <a:xfrm flipV="1">
              <a:off x="7863854" y="1738926"/>
              <a:ext cx="508622" cy="333177"/>
            </a:xfrm>
            <a:prstGeom prst="bentConnector3">
              <a:avLst>
                <a:gd name="adj1" fmla="val 70329"/>
              </a:avLst>
            </a:prstGeom>
            <a:noFill/>
            <a:ln w="22225">
              <a:solidFill>
                <a:srgbClr val="000000"/>
              </a:solidFill>
              <a:miter lim="800000"/>
              <a:headEnd/>
              <a:tailEnd/>
            </a:ln>
            <a:effectLst/>
          </xdr:spPr>
        </xdr:cxnSp>
        <xdr:cxnSp macro="">
          <xdr:nvCxnSpPr>
            <xdr:cNvPr id="37" name="AutoShape 210"/>
            <xdr:cNvCxnSpPr>
              <a:cxnSpLocks noChangeShapeType="1"/>
              <a:endCxn id="39" idx="3"/>
            </xdr:cNvCxnSpPr>
          </xdr:nvCxnSpPr>
          <xdr:spPr bwMode="auto">
            <a:xfrm rot="10800000">
              <a:off x="9048755" y="1739370"/>
              <a:ext cx="541566" cy="336464"/>
            </a:xfrm>
            <a:prstGeom prst="bentConnector3">
              <a:avLst>
                <a:gd name="adj1" fmla="val 66080"/>
              </a:avLst>
            </a:prstGeom>
            <a:noFill/>
            <a:ln w="22225">
              <a:solidFill>
                <a:srgbClr val="000000"/>
              </a:solidFill>
              <a:miter lim="800000"/>
              <a:headEnd/>
              <a:tailEnd type="triangle" w="med" len="med"/>
            </a:ln>
            <a:effectLst/>
          </xdr:spPr>
        </xdr:cxnSp>
        <xdr:sp macro="" textlink="">
          <xdr:nvSpPr>
            <xdr:cNvPr id="38" name="Rectangle 205"/>
            <xdr:cNvSpPr>
              <a:spLocks noChangeArrowheads="1"/>
            </xdr:cNvSpPr>
          </xdr:nvSpPr>
          <xdr:spPr bwMode="auto">
            <a:xfrm>
              <a:off x="8372477" y="1950509"/>
              <a:ext cx="676275" cy="250825"/>
            </a:xfrm>
            <a:prstGeom prst="rect">
              <a:avLst/>
            </a:prstGeom>
            <a:solidFill>
              <a:srgbClr val="FFFFFF"/>
            </a:solidFill>
            <a:ln w="9525">
              <a:solidFill>
                <a:srgbClr val="000000"/>
              </a:solidFill>
              <a:miter lim="800000"/>
              <a:headEnd/>
              <a:tailEnd/>
            </a:ln>
            <a:effec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PUMP1</a:t>
              </a:r>
            </a:p>
          </xdr:txBody>
        </xdr:sp>
        <xdr:sp macro="" textlink="">
          <xdr:nvSpPr>
            <xdr:cNvPr id="39" name="Rectangle 204"/>
            <xdr:cNvSpPr>
              <a:spLocks noChangeArrowheads="1"/>
            </xdr:cNvSpPr>
          </xdr:nvSpPr>
          <xdr:spPr bwMode="auto">
            <a:xfrm>
              <a:off x="8372475" y="1613957"/>
              <a:ext cx="676276" cy="250825"/>
            </a:xfrm>
            <a:prstGeom prst="rect">
              <a:avLst/>
            </a:prstGeom>
            <a:solidFill>
              <a:srgbClr val="FFFFFF"/>
            </a:solidFill>
            <a:ln w="9525">
              <a:solidFill>
                <a:srgbClr val="000000"/>
              </a:solidFill>
              <a:miter lim="800000"/>
              <a:headEnd/>
              <a:tailEnd/>
            </a:ln>
            <a:effec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PUMP2</a:t>
              </a:r>
            </a:p>
          </xdr:txBody>
        </xdr:sp>
        <xdr:sp macro="" textlink="">
          <xdr:nvSpPr>
            <xdr:cNvPr id="40" name="Rectangle 194"/>
            <xdr:cNvSpPr>
              <a:spLocks noChangeArrowheads="1"/>
            </xdr:cNvSpPr>
          </xdr:nvSpPr>
          <xdr:spPr bwMode="auto">
            <a:xfrm>
              <a:off x="8372475" y="1285875"/>
              <a:ext cx="676276" cy="254000"/>
            </a:xfrm>
            <a:prstGeom prst="rect">
              <a:avLst/>
            </a:prstGeom>
            <a:solidFill>
              <a:srgbClr val="FFFFFF"/>
            </a:solidFill>
            <a:ln w="9525">
              <a:solidFill>
                <a:srgbClr val="000000"/>
              </a:solidFill>
              <a:miter lim="800000"/>
              <a:headEnd/>
              <a:tailEnd/>
            </a:ln>
            <a:effec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PUMP3</a:t>
              </a:r>
            </a:p>
          </xdr:txBody>
        </xdr:sp>
      </xdr:grpSp>
      <xdr:cxnSp macro="">
        <xdr:nvCxnSpPr>
          <xdr:cNvPr id="87" name="Straight Connector 86"/>
          <xdr:cNvCxnSpPr>
            <a:stCxn id="38" idx="1"/>
          </xdr:cNvCxnSpPr>
        </xdr:nvCxnSpPr>
        <xdr:spPr>
          <a:xfrm rot="10800000" flipV="1">
            <a:off x="6906427" y="1103066"/>
            <a:ext cx="854480" cy="1"/>
          </a:xfrm>
          <a:prstGeom prst="line">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189144</xdr:colOff>
      <xdr:row>14</xdr:row>
      <xdr:rowOff>80671</xdr:rowOff>
    </xdr:from>
    <xdr:to>
      <xdr:col>15</xdr:col>
      <xdr:colOff>205947</xdr:colOff>
      <xdr:row>14</xdr:row>
      <xdr:rowOff>90102</xdr:rowOff>
    </xdr:to>
    <xdr:cxnSp macro="">
      <xdr:nvCxnSpPr>
        <xdr:cNvPr id="102" name="Straight Connector 101"/>
        <xdr:cNvCxnSpPr/>
      </xdr:nvCxnSpPr>
      <xdr:spPr>
        <a:xfrm rot="10800000">
          <a:off x="2838124" y="2745097"/>
          <a:ext cx="2990147" cy="9431"/>
        </a:xfrm>
        <a:prstGeom prst="line">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11774</xdr:colOff>
      <xdr:row>9</xdr:row>
      <xdr:rowOff>1172</xdr:rowOff>
    </xdr:from>
    <xdr:to>
      <xdr:col>8</xdr:col>
      <xdr:colOff>11774</xdr:colOff>
      <xdr:row>14</xdr:row>
      <xdr:rowOff>115515</xdr:rowOff>
    </xdr:to>
    <xdr:cxnSp macro="">
      <xdr:nvCxnSpPr>
        <xdr:cNvPr id="106" name="Straight Connector 105"/>
        <xdr:cNvCxnSpPr/>
      </xdr:nvCxnSpPr>
      <xdr:spPr>
        <a:xfrm rot="5400000">
          <a:off x="2099428" y="1747330"/>
          <a:ext cx="1124674" cy="0"/>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151293</xdr:colOff>
      <xdr:row>14</xdr:row>
      <xdr:rowOff>101832</xdr:rowOff>
    </xdr:from>
    <xdr:to>
      <xdr:col>8</xdr:col>
      <xdr:colOff>19180</xdr:colOff>
      <xdr:row>14</xdr:row>
      <xdr:rowOff>101834</xdr:rowOff>
    </xdr:to>
    <xdr:cxnSp macro="">
      <xdr:nvCxnSpPr>
        <xdr:cNvPr id="108" name="Straight Connector 107"/>
        <xdr:cNvCxnSpPr/>
      </xdr:nvCxnSpPr>
      <xdr:spPr>
        <a:xfrm rot="10800000">
          <a:off x="1801159" y="2295984"/>
          <a:ext cx="868012" cy="2"/>
        </a:xfrm>
        <a:prstGeom prst="line">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57830</xdr:colOff>
      <xdr:row>14</xdr:row>
      <xdr:rowOff>103447</xdr:rowOff>
    </xdr:from>
    <xdr:to>
      <xdr:col>6</xdr:col>
      <xdr:colOff>61232</xdr:colOff>
      <xdr:row>14</xdr:row>
      <xdr:rowOff>103447</xdr:rowOff>
    </xdr:to>
    <xdr:cxnSp macro="">
      <xdr:nvCxnSpPr>
        <xdr:cNvPr id="109" name="Straight Connector 108"/>
        <xdr:cNvCxnSpPr/>
      </xdr:nvCxnSpPr>
      <xdr:spPr>
        <a:xfrm rot="10800000">
          <a:off x="57830" y="2297599"/>
          <a:ext cx="1843768" cy="0"/>
        </a:xfrm>
        <a:prstGeom prst="line">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9</xdr:row>
      <xdr:rowOff>0</xdr:rowOff>
    </xdr:from>
    <xdr:to>
      <xdr:col>26</xdr:col>
      <xdr:colOff>47625</xdr:colOff>
      <xdr:row>9</xdr:row>
      <xdr:rowOff>0</xdr:rowOff>
    </xdr:to>
    <xdr:cxnSp macro="">
      <xdr:nvCxnSpPr>
        <xdr:cNvPr id="136" name="Straight Connector 135"/>
        <xdr:cNvCxnSpPr/>
      </xdr:nvCxnSpPr>
      <xdr:spPr>
        <a:xfrm rot="10800000">
          <a:off x="9620250" y="1038225"/>
          <a:ext cx="1485900" cy="0"/>
        </a:xfrm>
        <a:prstGeom prst="line">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1:Z31"/>
  <sheetViews>
    <sheetView showGridLines="0" tabSelected="1" zoomScaleNormal="100" workbookViewId="0">
      <selection activeCell="Y7" sqref="Y7"/>
    </sheetView>
  </sheetViews>
  <sheetFormatPr defaultRowHeight="15" x14ac:dyDescent="0.25"/>
  <cols>
    <col min="1" max="1" width="3.140625" customWidth="1"/>
    <col min="2" max="2" width="7.140625" customWidth="1"/>
    <col min="3" max="3" width="5.28515625" customWidth="1"/>
    <col min="4" max="4" width="2" customWidth="1"/>
    <col min="5" max="5" width="7.140625" customWidth="1"/>
    <col min="6" max="6" width="2.85546875" customWidth="1"/>
    <col min="7" max="7" width="3" customWidth="1"/>
    <col min="9" max="9" width="2.85546875" customWidth="1"/>
    <col min="11" max="11" width="2.85546875" customWidth="1"/>
    <col min="12" max="12" width="8.5703125" customWidth="1"/>
    <col min="13" max="13" width="7.140625" customWidth="1"/>
    <col min="14" max="14" width="5.28515625" customWidth="1"/>
    <col min="15" max="15" width="8.7109375" customWidth="1"/>
    <col min="16" max="16" width="7.140625" customWidth="1"/>
    <col min="17" max="17" width="5.28515625" customWidth="1"/>
    <col min="20" max="20" width="9.140625" customWidth="1"/>
    <col min="23" max="23" width="8.5703125" customWidth="1"/>
    <col min="25" max="25" width="7.140625" customWidth="1"/>
    <col min="26" max="26" width="5.28515625" customWidth="1"/>
  </cols>
  <sheetData>
    <row r="1" spans="2:26" x14ac:dyDescent="0.25">
      <c r="B1" s="79"/>
      <c r="E1" s="163"/>
      <c r="F1" s="163"/>
      <c r="G1" s="163"/>
      <c r="H1" s="163"/>
      <c r="I1" s="163"/>
      <c r="J1" s="163"/>
      <c r="K1" s="163"/>
      <c r="L1" s="163"/>
      <c r="M1" s="163"/>
    </row>
    <row r="2" spans="2:26" x14ac:dyDescent="0.25">
      <c r="E2" s="163"/>
      <c r="F2" s="163"/>
      <c r="G2" s="163"/>
      <c r="H2" s="164"/>
      <c r="I2" s="164"/>
      <c r="J2" s="164"/>
      <c r="K2" s="164"/>
      <c r="L2" s="164"/>
      <c r="M2" s="163"/>
    </row>
    <row r="3" spans="2:26" x14ac:dyDescent="0.25">
      <c r="E3" s="163"/>
      <c r="F3" s="163"/>
      <c r="G3" s="163"/>
      <c r="H3" s="164"/>
      <c r="I3" s="164"/>
      <c r="J3" s="164"/>
      <c r="K3" s="164"/>
      <c r="L3" s="164"/>
      <c r="M3" s="163"/>
    </row>
    <row r="4" spans="2:26" x14ac:dyDescent="0.25">
      <c r="E4" s="163"/>
      <c r="F4" s="163"/>
      <c r="G4" s="163"/>
      <c r="H4" s="163"/>
      <c r="I4" s="163"/>
      <c r="J4" s="163"/>
      <c r="K4" s="163"/>
      <c r="L4" s="163"/>
      <c r="M4" s="163"/>
    </row>
    <row r="5" spans="2:26" ht="15.75" thickBot="1" x14ac:dyDescent="0.3"/>
    <row r="6" spans="2:26" x14ac:dyDescent="0.25">
      <c r="G6" s="133" t="s">
        <v>122</v>
      </c>
      <c r="H6" s="134"/>
      <c r="I6" s="135"/>
      <c r="J6" s="136"/>
      <c r="L6" s="149" t="s">
        <v>0</v>
      </c>
      <c r="W6" s="150" t="s">
        <v>1</v>
      </c>
      <c r="Y6" s="165" t="s">
        <v>4</v>
      </c>
      <c r="Z6" s="166"/>
    </row>
    <row r="7" spans="2:26" ht="15.75" thickBot="1" x14ac:dyDescent="0.3">
      <c r="H7" s="137"/>
      <c r="I7" s="138"/>
      <c r="J7" s="139"/>
      <c r="L7" s="156"/>
      <c r="M7" t="s">
        <v>125</v>
      </c>
      <c r="U7" s="180" t="s">
        <v>124</v>
      </c>
      <c r="V7" s="181"/>
      <c r="W7" s="159"/>
      <c r="X7" t="s">
        <v>125</v>
      </c>
      <c r="Y7" s="197"/>
      <c r="Z7" s="126" t="s">
        <v>95</v>
      </c>
    </row>
    <row r="8" spans="2:26" ht="4.5" customHeight="1" thickBot="1" x14ac:dyDescent="0.3">
      <c r="H8" s="137"/>
      <c r="I8" s="138"/>
      <c r="J8" s="139"/>
    </row>
    <row r="9" spans="2:26" ht="15.75" thickBot="1" x14ac:dyDescent="0.3">
      <c r="H9" s="130" t="s">
        <v>111</v>
      </c>
      <c r="I9" s="131"/>
      <c r="J9" s="132">
        <v>0.1</v>
      </c>
      <c r="U9" s="140"/>
      <c r="V9" s="141"/>
      <c r="W9" s="142"/>
    </row>
    <row r="10" spans="2:26" x14ac:dyDescent="0.25">
      <c r="B10" s="165" t="s">
        <v>5</v>
      </c>
      <c r="C10" s="166"/>
      <c r="E10" s="165" t="s">
        <v>7</v>
      </c>
      <c r="F10" s="166"/>
      <c r="G10" s="67"/>
      <c r="H10" s="127"/>
      <c r="M10" s="165" t="s">
        <v>6</v>
      </c>
      <c r="N10" s="166"/>
      <c r="O10" s="128"/>
      <c r="P10" s="165" t="s">
        <v>3</v>
      </c>
      <c r="Q10" s="166"/>
      <c r="U10" s="143"/>
      <c r="V10" s="144"/>
      <c r="W10" s="145"/>
    </row>
    <row r="11" spans="2:26" ht="18" thickBot="1" x14ac:dyDescent="0.3">
      <c r="B11" s="154"/>
      <c r="C11" s="129" t="s">
        <v>98</v>
      </c>
      <c r="E11" s="154"/>
      <c r="F11" s="129" t="s">
        <v>119</v>
      </c>
      <c r="M11" s="154"/>
      <c r="N11" s="129" t="s">
        <v>98</v>
      </c>
      <c r="O11" s="128"/>
      <c r="P11" s="154"/>
      <c r="Q11" s="129" t="s">
        <v>95</v>
      </c>
      <c r="U11" s="143"/>
      <c r="V11" s="144"/>
      <c r="W11" s="145"/>
    </row>
    <row r="12" spans="2:26" ht="15.75" thickBot="1" x14ac:dyDescent="0.3">
      <c r="M12" s="165" t="s">
        <v>113</v>
      </c>
      <c r="N12" s="166"/>
      <c r="O12" s="128"/>
      <c r="U12" s="143"/>
      <c r="V12" s="144"/>
      <c r="W12" s="145"/>
    </row>
    <row r="13" spans="2:26" ht="15.75" thickBot="1" x14ac:dyDescent="0.3">
      <c r="B13" s="165" t="s">
        <v>2</v>
      </c>
      <c r="C13" s="166"/>
      <c r="E13" s="165" t="s">
        <v>114</v>
      </c>
      <c r="F13" s="166"/>
      <c r="H13" s="3"/>
      <c r="M13" s="154"/>
      <c r="N13" s="129"/>
      <c r="O13" s="128"/>
      <c r="U13" s="143"/>
      <c r="V13" s="144"/>
      <c r="W13" s="145"/>
    </row>
    <row r="14" spans="2:26" ht="15.75" thickBot="1" x14ac:dyDescent="0.3">
      <c r="B14" s="155"/>
      <c r="C14" s="129" t="s">
        <v>95</v>
      </c>
      <c r="E14" s="154"/>
      <c r="F14" s="129"/>
      <c r="U14" s="143"/>
      <c r="V14" s="144"/>
      <c r="W14" s="145"/>
    </row>
    <row r="15" spans="2:26" ht="15.75" thickBot="1" x14ac:dyDescent="0.3">
      <c r="U15" s="146"/>
      <c r="V15" s="147"/>
      <c r="W15" s="148"/>
    </row>
    <row r="16" spans="2:26" ht="15.75" thickBot="1" x14ac:dyDescent="0.3">
      <c r="B16" s="79" t="s">
        <v>123</v>
      </c>
      <c r="U16" s="130" t="s">
        <v>111</v>
      </c>
      <c r="V16" s="131"/>
      <c r="W16" s="132">
        <v>0.1</v>
      </c>
    </row>
    <row r="18" spans="3:26" ht="15.75" customHeight="1" thickBot="1" x14ac:dyDescent="0.3">
      <c r="R18" s="189" t="s">
        <v>127</v>
      </c>
      <c r="S18" s="189"/>
      <c r="T18" s="189"/>
      <c r="U18" s="189"/>
      <c r="V18" s="189"/>
      <c r="W18" s="189"/>
      <c r="X18" s="189"/>
      <c r="Y18" s="189"/>
      <c r="Z18" s="189"/>
    </row>
    <row r="19" spans="3:26" ht="15.75" thickBot="1" x14ac:dyDescent="0.3">
      <c r="C19" s="184" t="s">
        <v>8</v>
      </c>
      <c r="D19" s="185"/>
      <c r="E19" s="185"/>
      <c r="F19" s="185"/>
      <c r="G19" s="185"/>
      <c r="H19" s="185"/>
      <c r="I19" s="185"/>
      <c r="J19" s="186"/>
      <c r="N19" s="167" t="s">
        <v>130</v>
      </c>
      <c r="O19" s="168"/>
      <c r="P19" s="169"/>
      <c r="R19" s="189"/>
      <c r="S19" s="189"/>
      <c r="T19" s="189"/>
      <c r="U19" s="189"/>
      <c r="V19" s="189"/>
      <c r="W19" s="189"/>
      <c r="X19" s="189"/>
      <c r="Y19" s="189"/>
      <c r="Z19" s="189"/>
    </row>
    <row r="20" spans="3:26" x14ac:dyDescent="0.25">
      <c r="C20" s="187"/>
      <c r="D20" s="188"/>
      <c r="E20" s="188"/>
      <c r="F20" s="188"/>
      <c r="G20" s="188"/>
      <c r="H20" s="161" t="s">
        <v>11</v>
      </c>
      <c r="I20" s="176" t="s">
        <v>12</v>
      </c>
      <c r="J20" s="177"/>
      <c r="N20" s="151" t="s">
        <v>11</v>
      </c>
      <c r="O20" s="118"/>
      <c r="P20" s="157">
        <v>0.5</v>
      </c>
      <c r="R20" s="189"/>
      <c r="S20" s="189"/>
      <c r="T20" s="189"/>
      <c r="U20" s="189"/>
      <c r="V20" s="189"/>
      <c r="W20" s="189"/>
      <c r="X20" s="189"/>
      <c r="Y20" s="189"/>
      <c r="Z20" s="189"/>
    </row>
    <row r="21" spans="3:26" ht="15.75" thickBot="1" x14ac:dyDescent="0.3">
      <c r="C21" s="174" t="s">
        <v>128</v>
      </c>
      <c r="D21" s="175"/>
      <c r="E21" s="175"/>
      <c r="F21" s="175"/>
      <c r="G21" s="175"/>
      <c r="H21" s="162" t="e">
        <f>Calculations!C26</f>
        <v>#DIV/0!</v>
      </c>
      <c r="I21" s="170" t="e">
        <f>Calculations!D26</f>
        <v>#DIV/0!</v>
      </c>
      <c r="J21" s="171"/>
      <c r="N21" s="152" t="s">
        <v>12</v>
      </c>
      <c r="O21" s="153"/>
      <c r="P21" s="158">
        <v>2</v>
      </c>
      <c r="R21" s="189"/>
      <c r="S21" s="189"/>
      <c r="T21" s="189"/>
      <c r="U21" s="189"/>
      <c r="V21" s="189"/>
      <c r="W21" s="189"/>
      <c r="X21" s="189"/>
      <c r="Y21" s="189"/>
      <c r="Z21" s="189"/>
    </row>
    <row r="22" spans="3:26" x14ac:dyDescent="0.25">
      <c r="C22" s="174" t="s">
        <v>129</v>
      </c>
      <c r="D22" s="175"/>
      <c r="E22" s="175"/>
      <c r="F22" s="175"/>
      <c r="G22" s="175"/>
      <c r="H22" s="162" t="e">
        <f>Calculations!C27</f>
        <v>#DIV/0!</v>
      </c>
      <c r="I22" s="172" t="e">
        <f>Calculations!D27</f>
        <v>#DIV/0!</v>
      </c>
      <c r="J22" s="173"/>
      <c r="R22" s="189"/>
      <c r="S22" s="189"/>
      <c r="T22" s="189"/>
      <c r="U22" s="189"/>
      <c r="V22" s="189"/>
      <c r="W22" s="189"/>
      <c r="X22" s="189"/>
      <c r="Y22" s="189"/>
      <c r="Z22" s="189"/>
    </row>
    <row r="23" spans="3:26" ht="15.75" thickBot="1" x14ac:dyDescent="0.3">
      <c r="C23" s="182" t="s">
        <v>9</v>
      </c>
      <c r="D23" s="183"/>
      <c r="E23" s="183"/>
      <c r="F23" s="183"/>
      <c r="G23" s="183"/>
      <c r="H23" s="160" t="e">
        <f>IF(Calculations!C24&gt;3,"&gt; 3",Calculations!C24)</f>
        <v>#VALUE!</v>
      </c>
      <c r="I23" s="178" t="e">
        <f>IF(Calculations!D24&gt;4,"&gt; 4",Calculations!D24)</f>
        <v>#DIV/0!</v>
      </c>
      <c r="J23" s="179"/>
      <c r="R23" s="189"/>
      <c r="S23" s="189"/>
      <c r="T23" s="189"/>
      <c r="U23" s="189"/>
      <c r="V23" s="189"/>
      <c r="W23" s="189"/>
      <c r="X23" s="189"/>
      <c r="Y23" s="189"/>
      <c r="Z23" s="189"/>
    </row>
    <row r="24" spans="3:26" x14ac:dyDescent="0.25">
      <c r="R24" s="189"/>
      <c r="S24" s="189"/>
      <c r="T24" s="189"/>
      <c r="U24" s="189"/>
      <c r="V24" s="189"/>
      <c r="W24" s="189"/>
      <c r="X24" s="189"/>
      <c r="Y24" s="189"/>
      <c r="Z24" s="189"/>
    </row>
    <row r="25" spans="3:26" x14ac:dyDescent="0.25">
      <c r="R25" s="189"/>
      <c r="S25" s="189"/>
      <c r="T25" s="189"/>
      <c r="U25" s="189"/>
      <c r="V25" s="189"/>
      <c r="W25" s="189"/>
      <c r="X25" s="189"/>
      <c r="Y25" s="189"/>
      <c r="Z25" s="189"/>
    </row>
    <row r="26" spans="3:26" x14ac:dyDescent="0.25">
      <c r="R26" s="189"/>
      <c r="S26" s="189"/>
      <c r="T26" s="189"/>
      <c r="U26" s="189"/>
      <c r="V26" s="189"/>
      <c r="W26" s="189"/>
      <c r="X26" s="189"/>
      <c r="Y26" s="189"/>
      <c r="Z26" s="189"/>
    </row>
    <row r="27" spans="3:26" x14ac:dyDescent="0.25">
      <c r="R27" s="189"/>
      <c r="S27" s="189"/>
      <c r="T27" s="189"/>
      <c r="U27" s="189"/>
      <c r="V27" s="189"/>
      <c r="W27" s="189"/>
      <c r="X27" s="189"/>
      <c r="Y27" s="189"/>
      <c r="Z27" s="189"/>
    </row>
    <row r="28" spans="3:26" x14ac:dyDescent="0.25">
      <c r="R28" s="189"/>
      <c r="S28" s="189"/>
      <c r="T28" s="189"/>
      <c r="U28" s="189"/>
      <c r="V28" s="189"/>
      <c r="W28" s="189"/>
      <c r="X28" s="189"/>
      <c r="Y28" s="189"/>
      <c r="Z28" s="189"/>
    </row>
    <row r="29" spans="3:26" x14ac:dyDescent="0.25">
      <c r="R29" s="189"/>
      <c r="S29" s="189"/>
      <c r="T29" s="189"/>
      <c r="U29" s="189"/>
      <c r="V29" s="189"/>
      <c r="W29" s="189"/>
      <c r="X29" s="189"/>
      <c r="Y29" s="189"/>
      <c r="Z29" s="189"/>
    </row>
    <row r="30" spans="3:26" x14ac:dyDescent="0.25">
      <c r="R30" s="189"/>
      <c r="S30" s="189"/>
      <c r="T30" s="189"/>
      <c r="U30" s="189"/>
      <c r="V30" s="189"/>
      <c r="W30" s="189"/>
      <c r="X30" s="189"/>
      <c r="Y30" s="189"/>
      <c r="Z30" s="189"/>
    </row>
    <row r="31" spans="3:26" x14ac:dyDescent="0.25">
      <c r="R31" s="189"/>
      <c r="S31" s="189"/>
      <c r="T31" s="189"/>
      <c r="U31" s="189"/>
      <c r="V31" s="189"/>
      <c r="W31" s="189"/>
      <c r="X31" s="189"/>
      <c r="Y31" s="189"/>
      <c r="Z31" s="189"/>
    </row>
  </sheetData>
  <sheetProtection password="C5B8" sheet="1" objects="1" scenarios="1" selectLockedCells="1"/>
  <mergeCells count="20">
    <mergeCell ref="I23:J23"/>
    <mergeCell ref="U7:V7"/>
    <mergeCell ref="B10:C10"/>
    <mergeCell ref="E10:F10"/>
    <mergeCell ref="E13:F13"/>
    <mergeCell ref="P10:Q10"/>
    <mergeCell ref="M10:N10"/>
    <mergeCell ref="M12:N12"/>
    <mergeCell ref="C23:G23"/>
    <mergeCell ref="C19:J19"/>
    <mergeCell ref="C20:G20"/>
    <mergeCell ref="R18:Z31"/>
    <mergeCell ref="B13:C13"/>
    <mergeCell ref="Y6:Z6"/>
    <mergeCell ref="N19:P19"/>
    <mergeCell ref="I21:J21"/>
    <mergeCell ref="I22:J22"/>
    <mergeCell ref="C21:G21"/>
    <mergeCell ref="C22:G22"/>
    <mergeCell ref="I20:J20"/>
  </mergeCells>
  <conditionalFormatting sqref="H21:H23">
    <cfRule type="cellIs" dxfId="1" priority="6" operator="lessThan">
      <formula>$P$20</formula>
    </cfRule>
  </conditionalFormatting>
  <conditionalFormatting sqref="I21:I23 J22:J23">
    <cfRule type="cellIs" dxfId="0" priority="5" operator="lessThan">
      <formula>$P$21</formula>
    </cfRule>
  </conditionalFormatting>
  <pageMargins left="0.7" right="0.7" top="0.75" bottom="0.75" header="0.3" footer="0.3"/>
  <pageSetup scale="67" orientation="landscape" r:id="rId1"/>
  <headerFooter>
    <oddHeader>&amp;C&amp;"-,Bold"&amp;18CT Calculator&amp;R&amp;G</oddHeader>
    <oddFooter>&amp;L&amp;12Reviewed By: 
Date:  
Signed: 
&amp;C&amp;P of &amp;N&amp;RPrinted on: &amp;D at &amp;T</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83"/>
  <sheetViews>
    <sheetView topLeftCell="A40" workbookViewId="0">
      <selection activeCell="B52" sqref="B52:F52"/>
    </sheetView>
  </sheetViews>
  <sheetFormatPr defaultRowHeight="12.75" x14ac:dyDescent="0.2"/>
  <cols>
    <col min="1" max="1" width="5.42578125" style="98" customWidth="1"/>
    <col min="2" max="2" width="20.140625" style="98" customWidth="1"/>
    <col min="3" max="3" width="7" style="98" customWidth="1"/>
    <col min="4" max="4" width="5.5703125" style="98" customWidth="1"/>
    <col min="5" max="5" width="7.140625" style="98" customWidth="1"/>
    <col min="6" max="6" width="43.85546875" style="98" customWidth="1"/>
    <col min="7" max="7" width="11" style="98" customWidth="1"/>
    <col min="8" max="8" width="13.7109375" style="98" customWidth="1"/>
    <col min="9" max="9" width="12.5703125" style="98" customWidth="1"/>
    <col min="10" max="256" width="9.140625" style="98"/>
    <col min="257" max="257" width="5.42578125" style="98" customWidth="1"/>
    <col min="258" max="258" width="20.140625" style="98" customWidth="1"/>
    <col min="259" max="259" width="7" style="98" customWidth="1"/>
    <col min="260" max="260" width="5.5703125" style="98" customWidth="1"/>
    <col min="261" max="261" width="7.140625" style="98" customWidth="1"/>
    <col min="262" max="262" width="43.85546875" style="98" customWidth="1"/>
    <col min="263" max="263" width="11" style="98" customWidth="1"/>
    <col min="264" max="264" width="13.7109375" style="98" customWidth="1"/>
    <col min="265" max="265" width="12.5703125" style="98" customWidth="1"/>
    <col min="266" max="512" width="9.140625" style="98"/>
    <col min="513" max="513" width="5.42578125" style="98" customWidth="1"/>
    <col min="514" max="514" width="20.140625" style="98" customWidth="1"/>
    <col min="515" max="515" width="7" style="98" customWidth="1"/>
    <col min="516" max="516" width="5.5703125" style="98" customWidth="1"/>
    <col min="517" max="517" width="7.140625" style="98" customWidth="1"/>
    <col min="518" max="518" width="43.85546875" style="98" customWidth="1"/>
    <col min="519" max="519" width="11" style="98" customWidth="1"/>
    <col min="520" max="520" width="13.7109375" style="98" customWidth="1"/>
    <col min="521" max="521" width="12.5703125" style="98" customWidth="1"/>
    <col min="522" max="768" width="9.140625" style="98"/>
    <col min="769" max="769" width="5.42578125" style="98" customWidth="1"/>
    <col min="770" max="770" width="20.140625" style="98" customWidth="1"/>
    <col min="771" max="771" width="7" style="98" customWidth="1"/>
    <col min="772" max="772" width="5.5703125" style="98" customWidth="1"/>
    <col min="773" max="773" width="7.140625" style="98" customWidth="1"/>
    <col min="774" max="774" width="43.85546875" style="98" customWidth="1"/>
    <col min="775" max="775" width="11" style="98" customWidth="1"/>
    <col min="776" max="776" width="13.7109375" style="98" customWidth="1"/>
    <col min="777" max="777" width="12.5703125" style="98" customWidth="1"/>
    <col min="778" max="1024" width="9.140625" style="98"/>
    <col min="1025" max="1025" width="5.42578125" style="98" customWidth="1"/>
    <col min="1026" max="1026" width="20.140625" style="98" customWidth="1"/>
    <col min="1027" max="1027" width="7" style="98" customWidth="1"/>
    <col min="1028" max="1028" width="5.5703125" style="98" customWidth="1"/>
    <col min="1029" max="1029" width="7.140625" style="98" customWidth="1"/>
    <col min="1030" max="1030" width="43.85546875" style="98" customWidth="1"/>
    <col min="1031" max="1031" width="11" style="98" customWidth="1"/>
    <col min="1032" max="1032" width="13.7109375" style="98" customWidth="1"/>
    <col min="1033" max="1033" width="12.5703125" style="98" customWidth="1"/>
    <col min="1034" max="1280" width="9.140625" style="98"/>
    <col min="1281" max="1281" width="5.42578125" style="98" customWidth="1"/>
    <col min="1282" max="1282" width="20.140625" style="98" customWidth="1"/>
    <col min="1283" max="1283" width="7" style="98" customWidth="1"/>
    <col min="1284" max="1284" width="5.5703125" style="98" customWidth="1"/>
    <col min="1285" max="1285" width="7.140625" style="98" customWidth="1"/>
    <col min="1286" max="1286" width="43.85546875" style="98" customWidth="1"/>
    <col min="1287" max="1287" width="11" style="98" customWidth="1"/>
    <col min="1288" max="1288" width="13.7109375" style="98" customWidth="1"/>
    <col min="1289" max="1289" width="12.5703125" style="98" customWidth="1"/>
    <col min="1290" max="1536" width="9.140625" style="98"/>
    <col min="1537" max="1537" width="5.42578125" style="98" customWidth="1"/>
    <col min="1538" max="1538" width="20.140625" style="98" customWidth="1"/>
    <col min="1539" max="1539" width="7" style="98" customWidth="1"/>
    <col min="1540" max="1540" width="5.5703125" style="98" customWidth="1"/>
    <col min="1541" max="1541" width="7.140625" style="98" customWidth="1"/>
    <col min="1542" max="1542" width="43.85546875" style="98" customWidth="1"/>
    <col min="1543" max="1543" width="11" style="98" customWidth="1"/>
    <col min="1544" max="1544" width="13.7109375" style="98" customWidth="1"/>
    <col min="1545" max="1545" width="12.5703125" style="98" customWidth="1"/>
    <col min="1546" max="1792" width="9.140625" style="98"/>
    <col min="1793" max="1793" width="5.42578125" style="98" customWidth="1"/>
    <col min="1794" max="1794" width="20.140625" style="98" customWidth="1"/>
    <col min="1795" max="1795" width="7" style="98" customWidth="1"/>
    <col min="1796" max="1796" width="5.5703125" style="98" customWidth="1"/>
    <col min="1797" max="1797" width="7.140625" style="98" customWidth="1"/>
    <col min="1798" max="1798" width="43.85546875" style="98" customWidth="1"/>
    <col min="1799" max="1799" width="11" style="98" customWidth="1"/>
    <col min="1800" max="1800" width="13.7109375" style="98" customWidth="1"/>
    <col min="1801" max="1801" width="12.5703125" style="98" customWidth="1"/>
    <col min="1802" max="2048" width="9.140625" style="98"/>
    <col min="2049" max="2049" width="5.42578125" style="98" customWidth="1"/>
    <col min="2050" max="2050" width="20.140625" style="98" customWidth="1"/>
    <col min="2051" max="2051" width="7" style="98" customWidth="1"/>
    <col min="2052" max="2052" width="5.5703125" style="98" customWidth="1"/>
    <col min="2053" max="2053" width="7.140625" style="98" customWidth="1"/>
    <col min="2054" max="2054" width="43.85546875" style="98" customWidth="1"/>
    <col min="2055" max="2055" width="11" style="98" customWidth="1"/>
    <col min="2056" max="2056" width="13.7109375" style="98" customWidth="1"/>
    <col min="2057" max="2057" width="12.5703125" style="98" customWidth="1"/>
    <col min="2058" max="2304" width="9.140625" style="98"/>
    <col min="2305" max="2305" width="5.42578125" style="98" customWidth="1"/>
    <col min="2306" max="2306" width="20.140625" style="98" customWidth="1"/>
    <col min="2307" max="2307" width="7" style="98" customWidth="1"/>
    <col min="2308" max="2308" width="5.5703125" style="98" customWidth="1"/>
    <col min="2309" max="2309" width="7.140625" style="98" customWidth="1"/>
    <col min="2310" max="2310" width="43.85546875" style="98" customWidth="1"/>
    <col min="2311" max="2311" width="11" style="98" customWidth="1"/>
    <col min="2312" max="2312" width="13.7109375" style="98" customWidth="1"/>
    <col min="2313" max="2313" width="12.5703125" style="98" customWidth="1"/>
    <col min="2314" max="2560" width="9.140625" style="98"/>
    <col min="2561" max="2561" width="5.42578125" style="98" customWidth="1"/>
    <col min="2562" max="2562" width="20.140625" style="98" customWidth="1"/>
    <col min="2563" max="2563" width="7" style="98" customWidth="1"/>
    <col min="2564" max="2564" width="5.5703125" style="98" customWidth="1"/>
    <col min="2565" max="2565" width="7.140625" style="98" customWidth="1"/>
    <col min="2566" max="2566" width="43.85546875" style="98" customWidth="1"/>
    <col min="2567" max="2567" width="11" style="98" customWidth="1"/>
    <col min="2568" max="2568" width="13.7109375" style="98" customWidth="1"/>
    <col min="2569" max="2569" width="12.5703125" style="98" customWidth="1"/>
    <col min="2570" max="2816" width="9.140625" style="98"/>
    <col min="2817" max="2817" width="5.42578125" style="98" customWidth="1"/>
    <col min="2818" max="2818" width="20.140625" style="98" customWidth="1"/>
    <col min="2819" max="2819" width="7" style="98" customWidth="1"/>
    <col min="2820" max="2820" width="5.5703125" style="98" customWidth="1"/>
    <col min="2821" max="2821" width="7.140625" style="98" customWidth="1"/>
    <col min="2822" max="2822" width="43.85546875" style="98" customWidth="1"/>
    <col min="2823" max="2823" width="11" style="98" customWidth="1"/>
    <col min="2824" max="2824" width="13.7109375" style="98" customWidth="1"/>
    <col min="2825" max="2825" width="12.5703125" style="98" customWidth="1"/>
    <col min="2826" max="3072" width="9.140625" style="98"/>
    <col min="3073" max="3073" width="5.42578125" style="98" customWidth="1"/>
    <col min="3074" max="3074" width="20.140625" style="98" customWidth="1"/>
    <col min="3075" max="3075" width="7" style="98" customWidth="1"/>
    <col min="3076" max="3076" width="5.5703125" style="98" customWidth="1"/>
    <col min="3077" max="3077" width="7.140625" style="98" customWidth="1"/>
    <col min="3078" max="3078" width="43.85546875" style="98" customWidth="1"/>
    <col min="3079" max="3079" width="11" style="98" customWidth="1"/>
    <col min="3080" max="3080" width="13.7109375" style="98" customWidth="1"/>
    <col min="3081" max="3081" width="12.5703125" style="98" customWidth="1"/>
    <col min="3082" max="3328" width="9.140625" style="98"/>
    <col min="3329" max="3329" width="5.42578125" style="98" customWidth="1"/>
    <col min="3330" max="3330" width="20.140625" style="98" customWidth="1"/>
    <col min="3331" max="3331" width="7" style="98" customWidth="1"/>
    <col min="3332" max="3332" width="5.5703125" style="98" customWidth="1"/>
    <col min="3333" max="3333" width="7.140625" style="98" customWidth="1"/>
    <col min="3334" max="3334" width="43.85546875" style="98" customWidth="1"/>
    <col min="3335" max="3335" width="11" style="98" customWidth="1"/>
    <col min="3336" max="3336" width="13.7109375" style="98" customWidth="1"/>
    <col min="3337" max="3337" width="12.5703125" style="98" customWidth="1"/>
    <col min="3338" max="3584" width="9.140625" style="98"/>
    <col min="3585" max="3585" width="5.42578125" style="98" customWidth="1"/>
    <col min="3586" max="3586" width="20.140625" style="98" customWidth="1"/>
    <col min="3587" max="3587" width="7" style="98" customWidth="1"/>
    <col min="3588" max="3588" width="5.5703125" style="98" customWidth="1"/>
    <col min="3589" max="3589" width="7.140625" style="98" customWidth="1"/>
    <col min="3590" max="3590" width="43.85546875" style="98" customWidth="1"/>
    <col min="3591" max="3591" width="11" style="98" customWidth="1"/>
    <col min="3592" max="3592" width="13.7109375" style="98" customWidth="1"/>
    <col min="3593" max="3593" width="12.5703125" style="98" customWidth="1"/>
    <col min="3594" max="3840" width="9.140625" style="98"/>
    <col min="3841" max="3841" width="5.42578125" style="98" customWidth="1"/>
    <col min="3842" max="3842" width="20.140625" style="98" customWidth="1"/>
    <col min="3843" max="3843" width="7" style="98" customWidth="1"/>
    <col min="3844" max="3844" width="5.5703125" style="98" customWidth="1"/>
    <col min="3845" max="3845" width="7.140625" style="98" customWidth="1"/>
    <col min="3846" max="3846" width="43.85546875" style="98" customWidth="1"/>
    <col min="3847" max="3847" width="11" style="98" customWidth="1"/>
    <col min="3848" max="3848" width="13.7109375" style="98" customWidth="1"/>
    <col min="3849" max="3849" width="12.5703125" style="98" customWidth="1"/>
    <col min="3850" max="4096" width="9.140625" style="98"/>
    <col min="4097" max="4097" width="5.42578125" style="98" customWidth="1"/>
    <col min="4098" max="4098" width="20.140625" style="98" customWidth="1"/>
    <col min="4099" max="4099" width="7" style="98" customWidth="1"/>
    <col min="4100" max="4100" width="5.5703125" style="98" customWidth="1"/>
    <col min="4101" max="4101" width="7.140625" style="98" customWidth="1"/>
    <col min="4102" max="4102" width="43.85546875" style="98" customWidth="1"/>
    <col min="4103" max="4103" width="11" style="98" customWidth="1"/>
    <col min="4104" max="4104" width="13.7109375" style="98" customWidth="1"/>
    <col min="4105" max="4105" width="12.5703125" style="98" customWidth="1"/>
    <col min="4106" max="4352" width="9.140625" style="98"/>
    <col min="4353" max="4353" width="5.42578125" style="98" customWidth="1"/>
    <col min="4354" max="4354" width="20.140625" style="98" customWidth="1"/>
    <col min="4355" max="4355" width="7" style="98" customWidth="1"/>
    <col min="4356" max="4356" width="5.5703125" style="98" customWidth="1"/>
    <col min="4357" max="4357" width="7.140625" style="98" customWidth="1"/>
    <col min="4358" max="4358" width="43.85546875" style="98" customWidth="1"/>
    <col min="4359" max="4359" width="11" style="98" customWidth="1"/>
    <col min="4360" max="4360" width="13.7109375" style="98" customWidth="1"/>
    <col min="4361" max="4361" width="12.5703125" style="98" customWidth="1"/>
    <col min="4362" max="4608" width="9.140625" style="98"/>
    <col min="4609" max="4609" width="5.42578125" style="98" customWidth="1"/>
    <col min="4610" max="4610" width="20.140625" style="98" customWidth="1"/>
    <col min="4611" max="4611" width="7" style="98" customWidth="1"/>
    <col min="4612" max="4612" width="5.5703125" style="98" customWidth="1"/>
    <col min="4613" max="4613" width="7.140625" style="98" customWidth="1"/>
    <col min="4614" max="4614" width="43.85546875" style="98" customWidth="1"/>
    <col min="4615" max="4615" width="11" style="98" customWidth="1"/>
    <col min="4616" max="4616" width="13.7109375" style="98" customWidth="1"/>
    <col min="4617" max="4617" width="12.5703125" style="98" customWidth="1"/>
    <col min="4618" max="4864" width="9.140625" style="98"/>
    <col min="4865" max="4865" width="5.42578125" style="98" customWidth="1"/>
    <col min="4866" max="4866" width="20.140625" style="98" customWidth="1"/>
    <col min="4867" max="4867" width="7" style="98" customWidth="1"/>
    <col min="4868" max="4868" width="5.5703125" style="98" customWidth="1"/>
    <col min="4869" max="4869" width="7.140625" style="98" customWidth="1"/>
    <col min="4870" max="4870" width="43.85546875" style="98" customWidth="1"/>
    <col min="4871" max="4871" width="11" style="98" customWidth="1"/>
    <col min="4872" max="4872" width="13.7109375" style="98" customWidth="1"/>
    <col min="4873" max="4873" width="12.5703125" style="98" customWidth="1"/>
    <col min="4874" max="5120" width="9.140625" style="98"/>
    <col min="5121" max="5121" width="5.42578125" style="98" customWidth="1"/>
    <col min="5122" max="5122" width="20.140625" style="98" customWidth="1"/>
    <col min="5123" max="5123" width="7" style="98" customWidth="1"/>
    <col min="5124" max="5124" width="5.5703125" style="98" customWidth="1"/>
    <col min="5125" max="5125" width="7.140625" style="98" customWidth="1"/>
    <col min="5126" max="5126" width="43.85546875" style="98" customWidth="1"/>
    <col min="5127" max="5127" width="11" style="98" customWidth="1"/>
    <col min="5128" max="5128" width="13.7109375" style="98" customWidth="1"/>
    <col min="5129" max="5129" width="12.5703125" style="98" customWidth="1"/>
    <col min="5130" max="5376" width="9.140625" style="98"/>
    <col min="5377" max="5377" width="5.42578125" style="98" customWidth="1"/>
    <col min="5378" max="5378" width="20.140625" style="98" customWidth="1"/>
    <col min="5379" max="5379" width="7" style="98" customWidth="1"/>
    <col min="5380" max="5380" width="5.5703125" style="98" customWidth="1"/>
    <col min="5381" max="5381" width="7.140625" style="98" customWidth="1"/>
    <col min="5382" max="5382" width="43.85546875" style="98" customWidth="1"/>
    <col min="5383" max="5383" width="11" style="98" customWidth="1"/>
    <col min="5384" max="5384" width="13.7109375" style="98" customWidth="1"/>
    <col min="5385" max="5385" width="12.5703125" style="98" customWidth="1"/>
    <col min="5386" max="5632" width="9.140625" style="98"/>
    <col min="5633" max="5633" width="5.42578125" style="98" customWidth="1"/>
    <col min="5634" max="5634" width="20.140625" style="98" customWidth="1"/>
    <col min="5635" max="5635" width="7" style="98" customWidth="1"/>
    <col min="5636" max="5636" width="5.5703125" style="98" customWidth="1"/>
    <col min="5637" max="5637" width="7.140625" style="98" customWidth="1"/>
    <col min="5638" max="5638" width="43.85546875" style="98" customWidth="1"/>
    <col min="5639" max="5639" width="11" style="98" customWidth="1"/>
    <col min="5640" max="5640" width="13.7109375" style="98" customWidth="1"/>
    <col min="5641" max="5641" width="12.5703125" style="98" customWidth="1"/>
    <col min="5642" max="5888" width="9.140625" style="98"/>
    <col min="5889" max="5889" width="5.42578125" style="98" customWidth="1"/>
    <col min="5890" max="5890" width="20.140625" style="98" customWidth="1"/>
    <col min="5891" max="5891" width="7" style="98" customWidth="1"/>
    <col min="5892" max="5892" width="5.5703125" style="98" customWidth="1"/>
    <col min="5893" max="5893" width="7.140625" style="98" customWidth="1"/>
    <col min="5894" max="5894" width="43.85546875" style="98" customWidth="1"/>
    <col min="5895" max="5895" width="11" style="98" customWidth="1"/>
    <col min="5896" max="5896" width="13.7109375" style="98" customWidth="1"/>
    <col min="5897" max="5897" width="12.5703125" style="98" customWidth="1"/>
    <col min="5898" max="6144" width="9.140625" style="98"/>
    <col min="6145" max="6145" width="5.42578125" style="98" customWidth="1"/>
    <col min="6146" max="6146" width="20.140625" style="98" customWidth="1"/>
    <col min="6147" max="6147" width="7" style="98" customWidth="1"/>
    <col min="6148" max="6148" width="5.5703125" style="98" customWidth="1"/>
    <col min="6149" max="6149" width="7.140625" style="98" customWidth="1"/>
    <col min="6150" max="6150" width="43.85546875" style="98" customWidth="1"/>
    <col min="6151" max="6151" width="11" style="98" customWidth="1"/>
    <col min="6152" max="6152" width="13.7109375" style="98" customWidth="1"/>
    <col min="6153" max="6153" width="12.5703125" style="98" customWidth="1"/>
    <col min="6154" max="6400" width="9.140625" style="98"/>
    <col min="6401" max="6401" width="5.42578125" style="98" customWidth="1"/>
    <col min="6402" max="6402" width="20.140625" style="98" customWidth="1"/>
    <col min="6403" max="6403" width="7" style="98" customWidth="1"/>
    <col min="6404" max="6404" width="5.5703125" style="98" customWidth="1"/>
    <col min="6405" max="6405" width="7.140625" style="98" customWidth="1"/>
    <col min="6406" max="6406" width="43.85546875" style="98" customWidth="1"/>
    <col min="6407" max="6407" width="11" style="98" customWidth="1"/>
    <col min="6408" max="6408" width="13.7109375" style="98" customWidth="1"/>
    <col min="6409" max="6409" width="12.5703125" style="98" customWidth="1"/>
    <col min="6410" max="6656" width="9.140625" style="98"/>
    <col min="6657" max="6657" width="5.42578125" style="98" customWidth="1"/>
    <col min="6658" max="6658" width="20.140625" style="98" customWidth="1"/>
    <col min="6659" max="6659" width="7" style="98" customWidth="1"/>
    <col min="6660" max="6660" width="5.5703125" style="98" customWidth="1"/>
    <col min="6661" max="6661" width="7.140625" style="98" customWidth="1"/>
    <col min="6662" max="6662" width="43.85546875" style="98" customWidth="1"/>
    <col min="6663" max="6663" width="11" style="98" customWidth="1"/>
    <col min="6664" max="6664" width="13.7109375" style="98" customWidth="1"/>
    <col min="6665" max="6665" width="12.5703125" style="98" customWidth="1"/>
    <col min="6666" max="6912" width="9.140625" style="98"/>
    <col min="6913" max="6913" width="5.42578125" style="98" customWidth="1"/>
    <col min="6914" max="6914" width="20.140625" style="98" customWidth="1"/>
    <col min="6915" max="6915" width="7" style="98" customWidth="1"/>
    <col min="6916" max="6916" width="5.5703125" style="98" customWidth="1"/>
    <col min="6917" max="6917" width="7.140625" style="98" customWidth="1"/>
    <col min="6918" max="6918" width="43.85546875" style="98" customWidth="1"/>
    <col min="6919" max="6919" width="11" style="98" customWidth="1"/>
    <col min="6920" max="6920" width="13.7109375" style="98" customWidth="1"/>
    <col min="6921" max="6921" width="12.5703125" style="98" customWidth="1"/>
    <col min="6922" max="7168" width="9.140625" style="98"/>
    <col min="7169" max="7169" width="5.42578125" style="98" customWidth="1"/>
    <col min="7170" max="7170" width="20.140625" style="98" customWidth="1"/>
    <col min="7171" max="7171" width="7" style="98" customWidth="1"/>
    <col min="7172" max="7172" width="5.5703125" style="98" customWidth="1"/>
    <col min="7173" max="7173" width="7.140625" style="98" customWidth="1"/>
    <col min="7174" max="7174" width="43.85546875" style="98" customWidth="1"/>
    <col min="7175" max="7175" width="11" style="98" customWidth="1"/>
    <col min="7176" max="7176" width="13.7109375" style="98" customWidth="1"/>
    <col min="7177" max="7177" width="12.5703125" style="98" customWidth="1"/>
    <col min="7178" max="7424" width="9.140625" style="98"/>
    <col min="7425" max="7425" width="5.42578125" style="98" customWidth="1"/>
    <col min="7426" max="7426" width="20.140625" style="98" customWidth="1"/>
    <col min="7427" max="7427" width="7" style="98" customWidth="1"/>
    <col min="7428" max="7428" width="5.5703125" style="98" customWidth="1"/>
    <col min="7429" max="7429" width="7.140625" style="98" customWidth="1"/>
    <col min="7430" max="7430" width="43.85546875" style="98" customWidth="1"/>
    <col min="7431" max="7431" width="11" style="98" customWidth="1"/>
    <col min="7432" max="7432" width="13.7109375" style="98" customWidth="1"/>
    <col min="7433" max="7433" width="12.5703125" style="98" customWidth="1"/>
    <col min="7434" max="7680" width="9.140625" style="98"/>
    <col min="7681" max="7681" width="5.42578125" style="98" customWidth="1"/>
    <col min="7682" max="7682" width="20.140625" style="98" customWidth="1"/>
    <col min="7683" max="7683" width="7" style="98" customWidth="1"/>
    <col min="7684" max="7684" width="5.5703125" style="98" customWidth="1"/>
    <col min="7685" max="7685" width="7.140625" style="98" customWidth="1"/>
    <col min="7686" max="7686" width="43.85546875" style="98" customWidth="1"/>
    <col min="7687" max="7687" width="11" style="98" customWidth="1"/>
    <col min="7688" max="7688" width="13.7109375" style="98" customWidth="1"/>
    <col min="7689" max="7689" width="12.5703125" style="98" customWidth="1"/>
    <col min="7690" max="7936" width="9.140625" style="98"/>
    <col min="7937" max="7937" width="5.42578125" style="98" customWidth="1"/>
    <col min="7938" max="7938" width="20.140625" style="98" customWidth="1"/>
    <col min="7939" max="7939" width="7" style="98" customWidth="1"/>
    <col min="7940" max="7940" width="5.5703125" style="98" customWidth="1"/>
    <col min="7941" max="7941" width="7.140625" style="98" customWidth="1"/>
    <col min="7942" max="7942" width="43.85546875" style="98" customWidth="1"/>
    <col min="7943" max="7943" width="11" style="98" customWidth="1"/>
    <col min="7944" max="7944" width="13.7109375" style="98" customWidth="1"/>
    <col min="7945" max="7945" width="12.5703125" style="98" customWidth="1"/>
    <col min="7946" max="8192" width="9.140625" style="98"/>
    <col min="8193" max="8193" width="5.42578125" style="98" customWidth="1"/>
    <col min="8194" max="8194" width="20.140625" style="98" customWidth="1"/>
    <col min="8195" max="8195" width="7" style="98" customWidth="1"/>
    <col min="8196" max="8196" width="5.5703125" style="98" customWidth="1"/>
    <col min="8197" max="8197" width="7.140625" style="98" customWidth="1"/>
    <col min="8198" max="8198" width="43.85546875" style="98" customWidth="1"/>
    <col min="8199" max="8199" width="11" style="98" customWidth="1"/>
    <col min="8200" max="8200" width="13.7109375" style="98" customWidth="1"/>
    <col min="8201" max="8201" width="12.5703125" style="98" customWidth="1"/>
    <col min="8202" max="8448" width="9.140625" style="98"/>
    <col min="8449" max="8449" width="5.42578125" style="98" customWidth="1"/>
    <col min="8450" max="8450" width="20.140625" style="98" customWidth="1"/>
    <col min="8451" max="8451" width="7" style="98" customWidth="1"/>
    <col min="8452" max="8452" width="5.5703125" style="98" customWidth="1"/>
    <col min="8453" max="8453" width="7.140625" style="98" customWidth="1"/>
    <col min="8454" max="8454" width="43.85546875" style="98" customWidth="1"/>
    <col min="8455" max="8455" width="11" style="98" customWidth="1"/>
    <col min="8456" max="8456" width="13.7109375" style="98" customWidth="1"/>
    <col min="8457" max="8457" width="12.5703125" style="98" customWidth="1"/>
    <col min="8458" max="8704" width="9.140625" style="98"/>
    <col min="8705" max="8705" width="5.42578125" style="98" customWidth="1"/>
    <col min="8706" max="8706" width="20.140625" style="98" customWidth="1"/>
    <col min="8707" max="8707" width="7" style="98" customWidth="1"/>
    <col min="8708" max="8708" width="5.5703125" style="98" customWidth="1"/>
    <col min="8709" max="8709" width="7.140625" style="98" customWidth="1"/>
    <col min="8710" max="8710" width="43.85546875" style="98" customWidth="1"/>
    <col min="8711" max="8711" width="11" style="98" customWidth="1"/>
    <col min="8712" max="8712" width="13.7109375" style="98" customWidth="1"/>
    <col min="8713" max="8713" width="12.5703125" style="98" customWidth="1"/>
    <col min="8714" max="8960" width="9.140625" style="98"/>
    <col min="8961" max="8961" width="5.42578125" style="98" customWidth="1"/>
    <col min="8962" max="8962" width="20.140625" style="98" customWidth="1"/>
    <col min="8963" max="8963" width="7" style="98" customWidth="1"/>
    <col min="8964" max="8964" width="5.5703125" style="98" customWidth="1"/>
    <col min="8965" max="8965" width="7.140625" style="98" customWidth="1"/>
    <col min="8966" max="8966" width="43.85546875" style="98" customWidth="1"/>
    <col min="8967" max="8967" width="11" style="98" customWidth="1"/>
    <col min="8968" max="8968" width="13.7109375" style="98" customWidth="1"/>
    <col min="8969" max="8969" width="12.5703125" style="98" customWidth="1"/>
    <col min="8970" max="9216" width="9.140625" style="98"/>
    <col min="9217" max="9217" width="5.42578125" style="98" customWidth="1"/>
    <col min="9218" max="9218" width="20.140625" style="98" customWidth="1"/>
    <col min="9219" max="9219" width="7" style="98" customWidth="1"/>
    <col min="9220" max="9220" width="5.5703125" style="98" customWidth="1"/>
    <col min="9221" max="9221" width="7.140625" style="98" customWidth="1"/>
    <col min="9222" max="9222" width="43.85546875" style="98" customWidth="1"/>
    <col min="9223" max="9223" width="11" style="98" customWidth="1"/>
    <col min="9224" max="9224" width="13.7109375" style="98" customWidth="1"/>
    <col min="9225" max="9225" width="12.5703125" style="98" customWidth="1"/>
    <col min="9226" max="9472" width="9.140625" style="98"/>
    <col min="9473" max="9473" width="5.42578125" style="98" customWidth="1"/>
    <col min="9474" max="9474" width="20.140625" style="98" customWidth="1"/>
    <col min="9475" max="9475" width="7" style="98" customWidth="1"/>
    <col min="9476" max="9476" width="5.5703125" style="98" customWidth="1"/>
    <col min="9477" max="9477" width="7.140625" style="98" customWidth="1"/>
    <col min="9478" max="9478" width="43.85546875" style="98" customWidth="1"/>
    <col min="9479" max="9479" width="11" style="98" customWidth="1"/>
    <col min="9480" max="9480" width="13.7109375" style="98" customWidth="1"/>
    <col min="9481" max="9481" width="12.5703125" style="98" customWidth="1"/>
    <col min="9482" max="9728" width="9.140625" style="98"/>
    <col min="9729" max="9729" width="5.42578125" style="98" customWidth="1"/>
    <col min="9730" max="9730" width="20.140625" style="98" customWidth="1"/>
    <col min="9731" max="9731" width="7" style="98" customWidth="1"/>
    <col min="9732" max="9732" width="5.5703125" style="98" customWidth="1"/>
    <col min="9733" max="9733" width="7.140625" style="98" customWidth="1"/>
    <col min="9734" max="9734" width="43.85546875" style="98" customWidth="1"/>
    <col min="9735" max="9735" width="11" style="98" customWidth="1"/>
    <col min="9736" max="9736" width="13.7109375" style="98" customWidth="1"/>
    <col min="9737" max="9737" width="12.5703125" style="98" customWidth="1"/>
    <col min="9738" max="9984" width="9.140625" style="98"/>
    <col min="9985" max="9985" width="5.42578125" style="98" customWidth="1"/>
    <col min="9986" max="9986" width="20.140625" style="98" customWidth="1"/>
    <col min="9987" max="9987" width="7" style="98" customWidth="1"/>
    <col min="9988" max="9988" width="5.5703125" style="98" customWidth="1"/>
    <col min="9989" max="9989" width="7.140625" style="98" customWidth="1"/>
    <col min="9990" max="9990" width="43.85546875" style="98" customWidth="1"/>
    <col min="9991" max="9991" width="11" style="98" customWidth="1"/>
    <col min="9992" max="9992" width="13.7109375" style="98" customWidth="1"/>
    <col min="9993" max="9993" width="12.5703125" style="98" customWidth="1"/>
    <col min="9994" max="10240" width="9.140625" style="98"/>
    <col min="10241" max="10241" width="5.42578125" style="98" customWidth="1"/>
    <col min="10242" max="10242" width="20.140625" style="98" customWidth="1"/>
    <col min="10243" max="10243" width="7" style="98" customWidth="1"/>
    <col min="10244" max="10244" width="5.5703125" style="98" customWidth="1"/>
    <col min="10245" max="10245" width="7.140625" style="98" customWidth="1"/>
    <col min="10246" max="10246" width="43.85546875" style="98" customWidth="1"/>
    <col min="10247" max="10247" width="11" style="98" customWidth="1"/>
    <col min="10248" max="10248" width="13.7109375" style="98" customWidth="1"/>
    <col min="10249" max="10249" width="12.5703125" style="98" customWidth="1"/>
    <col min="10250" max="10496" width="9.140625" style="98"/>
    <col min="10497" max="10497" width="5.42578125" style="98" customWidth="1"/>
    <col min="10498" max="10498" width="20.140625" style="98" customWidth="1"/>
    <col min="10499" max="10499" width="7" style="98" customWidth="1"/>
    <col min="10500" max="10500" width="5.5703125" style="98" customWidth="1"/>
    <col min="10501" max="10501" width="7.140625" style="98" customWidth="1"/>
    <col min="10502" max="10502" width="43.85546875" style="98" customWidth="1"/>
    <col min="10503" max="10503" width="11" style="98" customWidth="1"/>
    <col min="10504" max="10504" width="13.7109375" style="98" customWidth="1"/>
    <col min="10505" max="10505" width="12.5703125" style="98" customWidth="1"/>
    <col min="10506" max="10752" width="9.140625" style="98"/>
    <col min="10753" max="10753" width="5.42578125" style="98" customWidth="1"/>
    <col min="10754" max="10754" width="20.140625" style="98" customWidth="1"/>
    <col min="10755" max="10755" width="7" style="98" customWidth="1"/>
    <col min="10756" max="10756" width="5.5703125" style="98" customWidth="1"/>
    <col min="10757" max="10757" width="7.140625" style="98" customWidth="1"/>
    <col min="10758" max="10758" width="43.85546875" style="98" customWidth="1"/>
    <col min="10759" max="10759" width="11" style="98" customWidth="1"/>
    <col min="10760" max="10760" width="13.7109375" style="98" customWidth="1"/>
    <col min="10761" max="10761" width="12.5703125" style="98" customWidth="1"/>
    <col min="10762" max="11008" width="9.140625" style="98"/>
    <col min="11009" max="11009" width="5.42578125" style="98" customWidth="1"/>
    <col min="11010" max="11010" width="20.140625" style="98" customWidth="1"/>
    <col min="11011" max="11011" width="7" style="98" customWidth="1"/>
    <col min="11012" max="11012" width="5.5703125" style="98" customWidth="1"/>
    <col min="11013" max="11013" width="7.140625" style="98" customWidth="1"/>
    <col min="11014" max="11014" width="43.85546875" style="98" customWidth="1"/>
    <col min="11015" max="11015" width="11" style="98" customWidth="1"/>
    <col min="11016" max="11016" width="13.7109375" style="98" customWidth="1"/>
    <col min="11017" max="11017" width="12.5703125" style="98" customWidth="1"/>
    <col min="11018" max="11264" width="9.140625" style="98"/>
    <col min="11265" max="11265" width="5.42578125" style="98" customWidth="1"/>
    <col min="11266" max="11266" width="20.140625" style="98" customWidth="1"/>
    <col min="11267" max="11267" width="7" style="98" customWidth="1"/>
    <col min="11268" max="11268" width="5.5703125" style="98" customWidth="1"/>
    <col min="11269" max="11269" width="7.140625" style="98" customWidth="1"/>
    <col min="11270" max="11270" width="43.85546875" style="98" customWidth="1"/>
    <col min="11271" max="11271" width="11" style="98" customWidth="1"/>
    <col min="11272" max="11272" width="13.7109375" style="98" customWidth="1"/>
    <col min="11273" max="11273" width="12.5703125" style="98" customWidth="1"/>
    <col min="11274" max="11520" width="9.140625" style="98"/>
    <col min="11521" max="11521" width="5.42578125" style="98" customWidth="1"/>
    <col min="11522" max="11522" width="20.140625" style="98" customWidth="1"/>
    <col min="11523" max="11523" width="7" style="98" customWidth="1"/>
    <col min="11524" max="11524" width="5.5703125" style="98" customWidth="1"/>
    <col min="11525" max="11525" width="7.140625" style="98" customWidth="1"/>
    <col min="11526" max="11526" width="43.85546875" style="98" customWidth="1"/>
    <col min="11527" max="11527" width="11" style="98" customWidth="1"/>
    <col min="11528" max="11528" width="13.7109375" style="98" customWidth="1"/>
    <col min="11529" max="11529" width="12.5703125" style="98" customWidth="1"/>
    <col min="11530" max="11776" width="9.140625" style="98"/>
    <col min="11777" max="11777" width="5.42578125" style="98" customWidth="1"/>
    <col min="11778" max="11778" width="20.140625" style="98" customWidth="1"/>
    <col min="11779" max="11779" width="7" style="98" customWidth="1"/>
    <col min="11780" max="11780" width="5.5703125" style="98" customWidth="1"/>
    <col min="11781" max="11781" width="7.140625" style="98" customWidth="1"/>
    <col min="11782" max="11782" width="43.85546875" style="98" customWidth="1"/>
    <col min="11783" max="11783" width="11" style="98" customWidth="1"/>
    <col min="11784" max="11784" width="13.7109375" style="98" customWidth="1"/>
    <col min="11785" max="11785" width="12.5703125" style="98" customWidth="1"/>
    <col min="11786" max="12032" width="9.140625" style="98"/>
    <col min="12033" max="12033" width="5.42578125" style="98" customWidth="1"/>
    <col min="12034" max="12034" width="20.140625" style="98" customWidth="1"/>
    <col min="12035" max="12035" width="7" style="98" customWidth="1"/>
    <col min="12036" max="12036" width="5.5703125" style="98" customWidth="1"/>
    <col min="12037" max="12037" width="7.140625" style="98" customWidth="1"/>
    <col min="12038" max="12038" width="43.85546875" style="98" customWidth="1"/>
    <col min="12039" max="12039" width="11" style="98" customWidth="1"/>
    <col min="12040" max="12040" width="13.7109375" style="98" customWidth="1"/>
    <col min="12041" max="12041" width="12.5703125" style="98" customWidth="1"/>
    <col min="12042" max="12288" width="9.140625" style="98"/>
    <col min="12289" max="12289" width="5.42578125" style="98" customWidth="1"/>
    <col min="12290" max="12290" width="20.140625" style="98" customWidth="1"/>
    <col min="12291" max="12291" width="7" style="98" customWidth="1"/>
    <col min="12292" max="12292" width="5.5703125" style="98" customWidth="1"/>
    <col min="12293" max="12293" width="7.140625" style="98" customWidth="1"/>
    <col min="12294" max="12294" width="43.85546875" style="98" customWidth="1"/>
    <col min="12295" max="12295" width="11" style="98" customWidth="1"/>
    <col min="12296" max="12296" width="13.7109375" style="98" customWidth="1"/>
    <col min="12297" max="12297" width="12.5703125" style="98" customWidth="1"/>
    <col min="12298" max="12544" width="9.140625" style="98"/>
    <col min="12545" max="12545" width="5.42578125" style="98" customWidth="1"/>
    <col min="12546" max="12546" width="20.140625" style="98" customWidth="1"/>
    <col min="12547" max="12547" width="7" style="98" customWidth="1"/>
    <col min="12548" max="12548" width="5.5703125" style="98" customWidth="1"/>
    <col min="12549" max="12549" width="7.140625" style="98" customWidth="1"/>
    <col min="12550" max="12550" width="43.85546875" style="98" customWidth="1"/>
    <col min="12551" max="12551" width="11" style="98" customWidth="1"/>
    <col min="12552" max="12552" width="13.7109375" style="98" customWidth="1"/>
    <col min="12553" max="12553" width="12.5703125" style="98" customWidth="1"/>
    <col min="12554" max="12800" width="9.140625" style="98"/>
    <col min="12801" max="12801" width="5.42578125" style="98" customWidth="1"/>
    <col min="12802" max="12802" width="20.140625" style="98" customWidth="1"/>
    <col min="12803" max="12803" width="7" style="98" customWidth="1"/>
    <col min="12804" max="12804" width="5.5703125" style="98" customWidth="1"/>
    <col min="12805" max="12805" width="7.140625" style="98" customWidth="1"/>
    <col min="12806" max="12806" width="43.85546875" style="98" customWidth="1"/>
    <col min="12807" max="12807" width="11" style="98" customWidth="1"/>
    <col min="12808" max="12808" width="13.7109375" style="98" customWidth="1"/>
    <col min="12809" max="12809" width="12.5703125" style="98" customWidth="1"/>
    <col min="12810" max="13056" width="9.140625" style="98"/>
    <col min="13057" max="13057" width="5.42578125" style="98" customWidth="1"/>
    <col min="13058" max="13058" width="20.140625" style="98" customWidth="1"/>
    <col min="13059" max="13059" width="7" style="98" customWidth="1"/>
    <col min="13060" max="13060" width="5.5703125" style="98" customWidth="1"/>
    <col min="13061" max="13061" width="7.140625" style="98" customWidth="1"/>
    <col min="13062" max="13062" width="43.85546875" style="98" customWidth="1"/>
    <col min="13063" max="13063" width="11" style="98" customWidth="1"/>
    <col min="13064" max="13064" width="13.7109375" style="98" customWidth="1"/>
    <col min="13065" max="13065" width="12.5703125" style="98" customWidth="1"/>
    <col min="13066" max="13312" width="9.140625" style="98"/>
    <col min="13313" max="13313" width="5.42578125" style="98" customWidth="1"/>
    <col min="13314" max="13314" width="20.140625" style="98" customWidth="1"/>
    <col min="13315" max="13315" width="7" style="98" customWidth="1"/>
    <col min="13316" max="13316" width="5.5703125" style="98" customWidth="1"/>
    <col min="13317" max="13317" width="7.140625" style="98" customWidth="1"/>
    <col min="13318" max="13318" width="43.85546875" style="98" customWidth="1"/>
    <col min="13319" max="13319" width="11" style="98" customWidth="1"/>
    <col min="13320" max="13320" width="13.7109375" style="98" customWidth="1"/>
    <col min="13321" max="13321" width="12.5703125" style="98" customWidth="1"/>
    <col min="13322" max="13568" width="9.140625" style="98"/>
    <col min="13569" max="13569" width="5.42578125" style="98" customWidth="1"/>
    <col min="13570" max="13570" width="20.140625" style="98" customWidth="1"/>
    <col min="13571" max="13571" width="7" style="98" customWidth="1"/>
    <col min="13572" max="13572" width="5.5703125" style="98" customWidth="1"/>
    <col min="13573" max="13573" width="7.140625" style="98" customWidth="1"/>
    <col min="13574" max="13574" width="43.85546875" style="98" customWidth="1"/>
    <col min="13575" max="13575" width="11" style="98" customWidth="1"/>
    <col min="13576" max="13576" width="13.7109375" style="98" customWidth="1"/>
    <col min="13577" max="13577" width="12.5703125" style="98" customWidth="1"/>
    <col min="13578" max="13824" width="9.140625" style="98"/>
    <col min="13825" max="13825" width="5.42578125" style="98" customWidth="1"/>
    <col min="13826" max="13826" width="20.140625" style="98" customWidth="1"/>
    <col min="13827" max="13827" width="7" style="98" customWidth="1"/>
    <col min="13828" max="13828" width="5.5703125" style="98" customWidth="1"/>
    <col min="13829" max="13829" width="7.140625" style="98" customWidth="1"/>
    <col min="13830" max="13830" width="43.85546875" style="98" customWidth="1"/>
    <col min="13831" max="13831" width="11" style="98" customWidth="1"/>
    <col min="13832" max="13832" width="13.7109375" style="98" customWidth="1"/>
    <col min="13833" max="13833" width="12.5703125" style="98" customWidth="1"/>
    <col min="13834" max="14080" width="9.140625" style="98"/>
    <col min="14081" max="14081" width="5.42578125" style="98" customWidth="1"/>
    <col min="14082" max="14082" width="20.140625" style="98" customWidth="1"/>
    <col min="14083" max="14083" width="7" style="98" customWidth="1"/>
    <col min="14084" max="14084" width="5.5703125" style="98" customWidth="1"/>
    <col min="14085" max="14085" width="7.140625" style="98" customWidth="1"/>
    <col min="14086" max="14086" width="43.85546875" style="98" customWidth="1"/>
    <col min="14087" max="14087" width="11" style="98" customWidth="1"/>
    <col min="14088" max="14088" width="13.7109375" style="98" customWidth="1"/>
    <col min="14089" max="14089" width="12.5703125" style="98" customWidth="1"/>
    <col min="14090" max="14336" width="9.140625" style="98"/>
    <col min="14337" max="14337" width="5.42578125" style="98" customWidth="1"/>
    <col min="14338" max="14338" width="20.140625" style="98" customWidth="1"/>
    <col min="14339" max="14339" width="7" style="98" customWidth="1"/>
    <col min="14340" max="14340" width="5.5703125" style="98" customWidth="1"/>
    <col min="14341" max="14341" width="7.140625" style="98" customWidth="1"/>
    <col min="14342" max="14342" width="43.85546875" style="98" customWidth="1"/>
    <col min="14343" max="14343" width="11" style="98" customWidth="1"/>
    <col min="14344" max="14344" width="13.7109375" style="98" customWidth="1"/>
    <col min="14345" max="14345" width="12.5703125" style="98" customWidth="1"/>
    <col min="14346" max="14592" width="9.140625" style="98"/>
    <col min="14593" max="14593" width="5.42578125" style="98" customWidth="1"/>
    <col min="14594" max="14594" width="20.140625" style="98" customWidth="1"/>
    <col min="14595" max="14595" width="7" style="98" customWidth="1"/>
    <col min="14596" max="14596" width="5.5703125" style="98" customWidth="1"/>
    <col min="14597" max="14597" width="7.140625" style="98" customWidth="1"/>
    <col min="14598" max="14598" width="43.85546875" style="98" customWidth="1"/>
    <col min="14599" max="14599" width="11" style="98" customWidth="1"/>
    <col min="14600" max="14600" width="13.7109375" style="98" customWidth="1"/>
    <col min="14601" max="14601" width="12.5703125" style="98" customWidth="1"/>
    <col min="14602" max="14848" width="9.140625" style="98"/>
    <col min="14849" max="14849" width="5.42578125" style="98" customWidth="1"/>
    <col min="14850" max="14850" width="20.140625" style="98" customWidth="1"/>
    <col min="14851" max="14851" width="7" style="98" customWidth="1"/>
    <col min="14852" max="14852" width="5.5703125" style="98" customWidth="1"/>
    <col min="14853" max="14853" width="7.140625" style="98" customWidth="1"/>
    <col min="14854" max="14854" width="43.85546875" style="98" customWidth="1"/>
    <col min="14855" max="14855" width="11" style="98" customWidth="1"/>
    <col min="14856" max="14856" width="13.7109375" style="98" customWidth="1"/>
    <col min="14857" max="14857" width="12.5703125" style="98" customWidth="1"/>
    <col min="14858" max="15104" width="9.140625" style="98"/>
    <col min="15105" max="15105" width="5.42578125" style="98" customWidth="1"/>
    <col min="15106" max="15106" width="20.140625" style="98" customWidth="1"/>
    <col min="15107" max="15107" width="7" style="98" customWidth="1"/>
    <col min="15108" max="15108" width="5.5703125" style="98" customWidth="1"/>
    <col min="15109" max="15109" width="7.140625" style="98" customWidth="1"/>
    <col min="15110" max="15110" width="43.85546875" style="98" customWidth="1"/>
    <col min="15111" max="15111" width="11" style="98" customWidth="1"/>
    <col min="15112" max="15112" width="13.7109375" style="98" customWidth="1"/>
    <col min="15113" max="15113" width="12.5703125" style="98" customWidth="1"/>
    <col min="15114" max="15360" width="9.140625" style="98"/>
    <col min="15361" max="15361" width="5.42578125" style="98" customWidth="1"/>
    <col min="15362" max="15362" width="20.140625" style="98" customWidth="1"/>
    <col min="15363" max="15363" width="7" style="98" customWidth="1"/>
    <col min="15364" max="15364" width="5.5703125" style="98" customWidth="1"/>
    <col min="15365" max="15365" width="7.140625" style="98" customWidth="1"/>
    <col min="15366" max="15366" width="43.85546875" style="98" customWidth="1"/>
    <col min="15367" max="15367" width="11" style="98" customWidth="1"/>
    <col min="15368" max="15368" width="13.7109375" style="98" customWidth="1"/>
    <col min="15369" max="15369" width="12.5703125" style="98" customWidth="1"/>
    <col min="15370" max="15616" width="9.140625" style="98"/>
    <col min="15617" max="15617" width="5.42578125" style="98" customWidth="1"/>
    <col min="15618" max="15618" width="20.140625" style="98" customWidth="1"/>
    <col min="15619" max="15619" width="7" style="98" customWidth="1"/>
    <col min="15620" max="15620" width="5.5703125" style="98" customWidth="1"/>
    <col min="15621" max="15621" width="7.140625" style="98" customWidth="1"/>
    <col min="15622" max="15622" width="43.85546875" style="98" customWidth="1"/>
    <col min="15623" max="15623" width="11" style="98" customWidth="1"/>
    <col min="15624" max="15624" width="13.7109375" style="98" customWidth="1"/>
    <col min="15625" max="15625" width="12.5703125" style="98" customWidth="1"/>
    <col min="15626" max="15872" width="9.140625" style="98"/>
    <col min="15873" max="15873" width="5.42578125" style="98" customWidth="1"/>
    <col min="15874" max="15874" width="20.140625" style="98" customWidth="1"/>
    <col min="15875" max="15875" width="7" style="98" customWidth="1"/>
    <col min="15876" max="15876" width="5.5703125" style="98" customWidth="1"/>
    <col min="15877" max="15877" width="7.140625" style="98" customWidth="1"/>
    <col min="15878" max="15878" width="43.85546875" style="98" customWidth="1"/>
    <col min="15879" max="15879" width="11" style="98" customWidth="1"/>
    <col min="15880" max="15880" width="13.7109375" style="98" customWidth="1"/>
    <col min="15881" max="15881" width="12.5703125" style="98" customWidth="1"/>
    <col min="15882" max="16128" width="9.140625" style="98"/>
    <col min="16129" max="16129" width="5.42578125" style="98" customWidth="1"/>
    <col min="16130" max="16130" width="20.140625" style="98" customWidth="1"/>
    <col min="16131" max="16131" width="7" style="98" customWidth="1"/>
    <col min="16132" max="16132" width="5.5703125" style="98" customWidth="1"/>
    <col min="16133" max="16133" width="7.140625" style="98" customWidth="1"/>
    <col min="16134" max="16134" width="43.85546875" style="98" customWidth="1"/>
    <col min="16135" max="16135" width="11" style="98" customWidth="1"/>
    <col min="16136" max="16136" width="13.7109375" style="98" customWidth="1"/>
    <col min="16137" max="16137" width="12.5703125" style="98" customWidth="1"/>
    <col min="16138" max="16384" width="9.140625" style="98"/>
  </cols>
  <sheetData>
    <row r="1" spans="1:10" x14ac:dyDescent="0.2">
      <c r="A1" s="193" t="s">
        <v>36</v>
      </c>
      <c r="B1" s="193"/>
      <c r="C1" s="193"/>
      <c r="D1" s="193"/>
      <c r="E1" s="193"/>
      <c r="F1" s="193"/>
      <c r="G1" s="88"/>
      <c r="H1" s="88"/>
      <c r="I1" s="97"/>
      <c r="J1" s="97"/>
    </row>
    <row r="2" spans="1:10" x14ac:dyDescent="0.2">
      <c r="A2" s="89"/>
      <c r="B2" s="99"/>
      <c r="C2" s="99"/>
      <c r="D2" s="99"/>
      <c r="E2" s="99"/>
      <c r="F2" s="99"/>
      <c r="G2" s="97"/>
      <c r="H2" s="99"/>
      <c r="I2" s="97"/>
      <c r="J2" s="97"/>
    </row>
    <row r="3" spans="1:10" x14ac:dyDescent="0.2">
      <c r="A3" s="89"/>
      <c r="B3" s="194" t="s">
        <v>37</v>
      </c>
      <c r="C3" s="194"/>
      <c r="D3" s="194"/>
      <c r="E3" s="194"/>
      <c r="F3" s="194"/>
      <c r="G3" s="97"/>
      <c r="H3" s="99"/>
      <c r="I3" s="97"/>
      <c r="J3" s="97"/>
    </row>
    <row r="4" spans="1:10" ht="12.75" customHeight="1" x14ac:dyDescent="0.2">
      <c r="A4" s="89"/>
      <c r="B4" s="194" t="s">
        <v>38</v>
      </c>
      <c r="C4" s="194"/>
      <c r="D4" s="194"/>
      <c r="E4" s="194"/>
      <c r="F4" s="194"/>
      <c r="G4" s="97"/>
      <c r="H4" s="99"/>
      <c r="I4" s="97"/>
      <c r="J4" s="97"/>
    </row>
    <row r="5" spans="1:10" x14ac:dyDescent="0.2">
      <c r="A5" s="89"/>
      <c r="B5" s="90" t="s">
        <v>39</v>
      </c>
      <c r="C5" s="99"/>
      <c r="D5" s="99"/>
      <c r="E5" s="99"/>
      <c r="F5" s="99"/>
      <c r="G5" s="97"/>
      <c r="H5" s="99"/>
      <c r="I5" s="97"/>
      <c r="J5" s="97"/>
    </row>
    <row r="6" spans="1:10" x14ac:dyDescent="0.2">
      <c r="A6" s="89"/>
      <c r="B6" s="99"/>
      <c r="C6" s="99"/>
      <c r="D6" s="99"/>
      <c r="E6" s="99"/>
      <c r="F6" s="99"/>
      <c r="G6" s="97" t="s">
        <v>40</v>
      </c>
      <c r="H6" s="99" t="s">
        <v>41</v>
      </c>
      <c r="I6" s="97" t="s">
        <v>42</v>
      </c>
      <c r="J6" s="99" t="s">
        <v>43</v>
      </c>
    </row>
    <row r="7" spans="1:10" ht="51" customHeight="1" x14ac:dyDescent="0.2">
      <c r="A7" s="89">
        <v>1</v>
      </c>
      <c r="B7" s="191" t="s">
        <v>44</v>
      </c>
      <c r="C7" s="191"/>
      <c r="D7" s="191"/>
      <c r="E7" s="191"/>
      <c r="F7" s="191"/>
      <c r="H7" s="99"/>
      <c r="I7" s="91" t="s">
        <v>45</v>
      </c>
      <c r="J7" s="100">
        <v>38895</v>
      </c>
    </row>
    <row r="8" spans="1:10" x14ac:dyDescent="0.2">
      <c r="A8" s="89"/>
      <c r="B8" s="99"/>
      <c r="C8" s="99"/>
      <c r="D8" s="99"/>
      <c r="E8" s="99"/>
      <c r="F8" s="99"/>
      <c r="H8" s="99"/>
      <c r="I8" s="91"/>
      <c r="J8" s="97"/>
    </row>
    <row r="9" spans="1:10" ht="14.25" customHeight="1" x14ac:dyDescent="0.2">
      <c r="A9" s="89">
        <v>2</v>
      </c>
      <c r="B9" s="191" t="s">
        <v>46</v>
      </c>
      <c r="C9" s="191"/>
      <c r="D9" s="191"/>
      <c r="E9" s="191"/>
      <c r="F9" s="191"/>
      <c r="G9" s="101"/>
      <c r="H9" s="99"/>
      <c r="I9" s="91" t="s">
        <v>45</v>
      </c>
      <c r="J9" s="100">
        <v>38895</v>
      </c>
    </row>
    <row r="10" spans="1:10" x14ac:dyDescent="0.2">
      <c r="A10" s="89"/>
      <c r="B10" s="102"/>
      <c r="C10" s="102" t="s">
        <v>47</v>
      </c>
      <c r="D10" s="103"/>
      <c r="E10" s="102"/>
      <c r="F10" s="102"/>
      <c r="G10" s="101"/>
      <c r="H10" s="99"/>
      <c r="I10" s="91"/>
      <c r="J10" s="97"/>
    </row>
    <row r="11" spans="1:10" x14ac:dyDescent="0.2">
      <c r="A11" s="89"/>
      <c r="B11" s="102"/>
      <c r="C11" s="99" t="s">
        <v>48</v>
      </c>
      <c r="D11" s="104"/>
      <c r="E11" s="102"/>
      <c r="F11" s="102"/>
      <c r="H11" s="99"/>
      <c r="I11" s="91"/>
      <c r="J11" s="97"/>
    </row>
    <row r="12" spans="1:10" x14ac:dyDescent="0.2">
      <c r="A12" s="89"/>
      <c r="B12" s="102"/>
      <c r="C12" s="99"/>
      <c r="D12" s="102"/>
      <c r="E12" s="102"/>
      <c r="F12" s="102"/>
      <c r="H12" s="99"/>
      <c r="I12" s="91"/>
      <c r="J12" s="97"/>
    </row>
    <row r="13" spans="1:10" ht="25.5" x14ac:dyDescent="0.2">
      <c r="A13" s="89">
        <v>2.1</v>
      </c>
      <c r="B13" s="191" t="s">
        <v>49</v>
      </c>
      <c r="C13" s="191"/>
      <c r="D13" s="191"/>
      <c r="E13" s="191"/>
      <c r="F13" s="191"/>
      <c r="H13" s="99"/>
      <c r="I13" s="91" t="s">
        <v>45</v>
      </c>
      <c r="J13" s="100">
        <v>38895</v>
      </c>
    </row>
    <row r="14" spans="1:10" x14ac:dyDescent="0.2">
      <c r="A14" s="89"/>
      <c r="B14" s="99"/>
      <c r="C14" s="99"/>
      <c r="D14" s="99"/>
      <c r="E14" s="99"/>
      <c r="F14" s="99"/>
      <c r="H14" s="99"/>
      <c r="I14" s="91"/>
      <c r="J14" s="97"/>
    </row>
    <row r="15" spans="1:10" ht="25.5" x14ac:dyDescent="0.2">
      <c r="A15" s="89">
        <v>3.1</v>
      </c>
      <c r="B15" s="191" t="s">
        <v>50</v>
      </c>
      <c r="C15" s="191"/>
      <c r="D15" s="191"/>
      <c r="E15" s="191"/>
      <c r="F15" s="191"/>
      <c r="H15" s="99"/>
      <c r="I15" s="91" t="s">
        <v>45</v>
      </c>
      <c r="J15" s="100">
        <v>39871</v>
      </c>
    </row>
    <row r="16" spans="1:10" x14ac:dyDescent="0.2">
      <c r="A16" s="89"/>
      <c r="B16" s="99"/>
      <c r="C16" s="192" t="s">
        <v>51</v>
      </c>
      <c r="D16" s="192"/>
      <c r="E16" s="192"/>
      <c r="F16" s="99"/>
      <c r="H16" s="99"/>
      <c r="I16" s="91"/>
      <c r="J16" s="97"/>
    </row>
    <row r="17" spans="1:10" x14ac:dyDescent="0.2">
      <c r="A17" s="89"/>
      <c r="B17" s="99" t="s">
        <v>52</v>
      </c>
      <c r="C17" s="105">
        <v>0</v>
      </c>
      <c r="D17" s="99"/>
      <c r="E17" s="105">
        <v>0.01</v>
      </c>
      <c r="F17" s="99" t="s">
        <v>53</v>
      </c>
      <c r="H17" s="99"/>
      <c r="I17" s="91"/>
      <c r="J17" s="97"/>
    </row>
    <row r="18" spans="1:10" x14ac:dyDescent="0.2">
      <c r="A18" s="89"/>
      <c r="B18" s="99" t="s">
        <v>54</v>
      </c>
      <c r="C18" s="105">
        <v>0</v>
      </c>
      <c r="D18" s="105"/>
      <c r="E18" s="105">
        <v>3</v>
      </c>
      <c r="F18" s="99" t="s">
        <v>55</v>
      </c>
      <c r="H18" s="99"/>
      <c r="I18" s="91"/>
      <c r="J18" s="97"/>
    </row>
    <row r="19" spans="1:10" x14ac:dyDescent="0.2">
      <c r="A19" s="89"/>
      <c r="B19" s="99" t="s">
        <v>56</v>
      </c>
      <c r="C19" s="105">
        <v>0</v>
      </c>
      <c r="D19" s="105"/>
      <c r="E19" s="105">
        <v>4</v>
      </c>
      <c r="F19" s="99" t="s">
        <v>55</v>
      </c>
      <c r="H19" s="99"/>
      <c r="I19" s="91"/>
      <c r="J19" s="97"/>
    </row>
    <row r="20" spans="1:10" x14ac:dyDescent="0.2">
      <c r="A20" s="89"/>
      <c r="B20" s="99" t="s">
        <v>57</v>
      </c>
      <c r="C20" s="105">
        <v>0</v>
      </c>
      <c r="D20" s="105"/>
      <c r="E20" s="105">
        <v>5</v>
      </c>
      <c r="F20" s="99" t="s">
        <v>53</v>
      </c>
      <c r="H20" s="99"/>
      <c r="I20" s="91"/>
      <c r="J20" s="97"/>
    </row>
    <row r="21" spans="1:10" x14ac:dyDescent="0.2">
      <c r="A21" s="89"/>
      <c r="B21" s="99" t="s">
        <v>34</v>
      </c>
      <c r="C21" s="105">
        <v>0.5</v>
      </c>
      <c r="D21" s="105" t="s">
        <v>58</v>
      </c>
      <c r="E21" s="105">
        <v>25</v>
      </c>
      <c r="F21" s="99" t="s">
        <v>59</v>
      </c>
      <c r="H21" s="99"/>
      <c r="I21" s="91"/>
      <c r="J21" s="97"/>
    </row>
    <row r="22" spans="1:10" x14ac:dyDescent="0.2">
      <c r="A22" s="89"/>
      <c r="B22" s="106" t="s">
        <v>23</v>
      </c>
      <c r="C22" s="105">
        <v>6.51</v>
      </c>
      <c r="D22" s="105"/>
      <c r="E22" s="105">
        <v>9</v>
      </c>
      <c r="F22" s="99" t="s">
        <v>59</v>
      </c>
      <c r="H22" s="99"/>
      <c r="I22" s="91"/>
      <c r="J22" s="97"/>
    </row>
    <row r="23" spans="1:10" x14ac:dyDescent="0.2">
      <c r="A23" s="89"/>
      <c r="B23" s="99" t="s">
        <v>60</v>
      </c>
      <c r="C23" s="105">
        <v>0</v>
      </c>
      <c r="D23" s="105"/>
      <c r="E23" s="105">
        <v>8</v>
      </c>
      <c r="F23" s="99" t="s">
        <v>53</v>
      </c>
      <c r="H23" s="99"/>
      <c r="I23" s="91"/>
      <c r="J23" s="97"/>
    </row>
    <row r="24" spans="1:10" x14ac:dyDescent="0.2">
      <c r="A24" s="89"/>
      <c r="B24" s="99" t="s">
        <v>61</v>
      </c>
      <c r="C24" s="105">
        <v>0</v>
      </c>
      <c r="D24" s="105"/>
      <c r="E24" s="105">
        <v>100</v>
      </c>
      <c r="F24" s="99"/>
      <c r="H24" s="99"/>
      <c r="I24" s="91"/>
      <c r="J24" s="97"/>
    </row>
    <row r="25" spans="1:10" x14ac:dyDescent="0.2">
      <c r="A25" s="89"/>
      <c r="B25" s="102" t="s">
        <v>62</v>
      </c>
      <c r="C25" s="107">
        <v>0</v>
      </c>
      <c r="D25" s="107"/>
      <c r="E25" s="107">
        <v>1</v>
      </c>
      <c r="F25" s="99"/>
      <c r="H25" s="99"/>
      <c r="I25" s="91"/>
      <c r="J25" s="97"/>
    </row>
    <row r="26" spans="1:10" ht="25.5" customHeight="1" x14ac:dyDescent="0.2">
      <c r="A26" s="89"/>
      <c r="B26" s="191" t="s">
        <v>63</v>
      </c>
      <c r="C26" s="191"/>
      <c r="D26" s="191"/>
      <c r="E26" s="191"/>
      <c r="F26" s="191"/>
      <c r="H26" s="99"/>
      <c r="I26" s="91" t="s">
        <v>45</v>
      </c>
      <c r="J26" s="100">
        <v>38895</v>
      </c>
    </row>
    <row r="27" spans="1:10" x14ac:dyDescent="0.2">
      <c r="A27" s="89"/>
      <c r="B27" s="102"/>
      <c r="C27" s="102"/>
      <c r="D27" s="102"/>
      <c r="E27" s="102"/>
      <c r="F27" s="102"/>
      <c r="H27" s="99"/>
      <c r="I27" s="91"/>
      <c r="J27" s="97"/>
    </row>
    <row r="28" spans="1:10" ht="40.5" customHeight="1" x14ac:dyDescent="0.2">
      <c r="A28" s="89">
        <v>3.2</v>
      </c>
      <c r="B28" s="191" t="s">
        <v>64</v>
      </c>
      <c r="C28" s="191"/>
      <c r="D28" s="191"/>
      <c r="E28" s="191"/>
      <c r="F28" s="191"/>
      <c r="H28" s="99"/>
      <c r="I28" s="91" t="s">
        <v>45</v>
      </c>
      <c r="J28" s="100">
        <v>38895</v>
      </c>
    </row>
    <row r="29" spans="1:10" x14ac:dyDescent="0.2">
      <c r="A29" s="89"/>
      <c r="B29" s="102"/>
      <c r="C29" s="102"/>
      <c r="D29" s="102"/>
      <c r="E29" s="102"/>
      <c r="F29" s="102"/>
      <c r="H29" s="99"/>
      <c r="I29" s="91"/>
      <c r="J29" s="97"/>
    </row>
    <row r="30" spans="1:10" ht="66.75" customHeight="1" x14ac:dyDescent="0.2">
      <c r="A30" s="89">
        <v>3.3</v>
      </c>
      <c r="B30" s="191" t="s">
        <v>72</v>
      </c>
      <c r="C30" s="191"/>
      <c r="D30" s="191"/>
      <c r="E30" s="191"/>
      <c r="F30" s="191"/>
      <c r="H30" s="99"/>
      <c r="I30" s="91" t="s">
        <v>45</v>
      </c>
      <c r="J30" s="100">
        <v>39871</v>
      </c>
    </row>
    <row r="31" spans="1:10" x14ac:dyDescent="0.2">
      <c r="A31" s="89"/>
      <c r="B31" s="102"/>
      <c r="C31" s="102"/>
      <c r="D31" s="102"/>
      <c r="E31" s="102"/>
      <c r="F31" s="102"/>
      <c r="H31" s="99"/>
      <c r="I31" s="91"/>
      <c r="J31" s="97"/>
    </row>
    <row r="32" spans="1:10" ht="38.25" customHeight="1" x14ac:dyDescent="0.2">
      <c r="A32" s="89">
        <v>3.4</v>
      </c>
      <c r="B32" s="191" t="s">
        <v>73</v>
      </c>
      <c r="C32" s="191"/>
      <c r="D32" s="191"/>
      <c r="E32" s="191"/>
      <c r="F32" s="191"/>
      <c r="H32" s="99"/>
      <c r="I32" s="91" t="s">
        <v>45</v>
      </c>
      <c r="J32" s="100">
        <v>39871</v>
      </c>
    </row>
    <row r="33" spans="1:10" x14ac:dyDescent="0.2">
      <c r="A33" s="89"/>
      <c r="B33" s="102"/>
      <c r="C33" s="102"/>
      <c r="D33" s="102"/>
      <c r="E33" s="102"/>
      <c r="F33" s="102"/>
      <c r="H33" s="99"/>
      <c r="I33" s="91"/>
      <c r="J33" s="97"/>
    </row>
    <row r="34" spans="1:10" ht="38.25" customHeight="1" x14ac:dyDescent="0.2">
      <c r="A34" s="89">
        <v>4</v>
      </c>
      <c r="B34" s="191" t="s">
        <v>65</v>
      </c>
      <c r="C34" s="191"/>
      <c r="D34" s="191"/>
      <c r="E34" s="191"/>
      <c r="F34" s="191"/>
      <c r="H34" s="99"/>
      <c r="I34" s="91" t="s">
        <v>45</v>
      </c>
      <c r="J34" s="100">
        <v>38895</v>
      </c>
    </row>
    <row r="35" spans="1:10" x14ac:dyDescent="0.2">
      <c r="A35" s="89"/>
      <c r="B35" s="102"/>
      <c r="C35" s="102"/>
      <c r="D35" s="102"/>
      <c r="E35" s="102"/>
      <c r="F35" s="102"/>
      <c r="H35" s="99"/>
      <c r="I35" s="91"/>
      <c r="J35" s="97"/>
    </row>
    <row r="36" spans="1:10" ht="38.25" customHeight="1" x14ac:dyDescent="0.2">
      <c r="A36" s="89">
        <v>5</v>
      </c>
      <c r="B36" s="191" t="s">
        <v>66</v>
      </c>
      <c r="C36" s="191"/>
      <c r="D36" s="191"/>
      <c r="E36" s="191"/>
      <c r="F36" s="191"/>
      <c r="H36" s="99"/>
      <c r="I36" s="91" t="s">
        <v>45</v>
      </c>
      <c r="J36" s="100">
        <v>38895</v>
      </c>
    </row>
    <row r="37" spans="1:10" x14ac:dyDescent="0.2">
      <c r="A37" s="89"/>
      <c r="B37" s="102"/>
      <c r="C37" s="102"/>
      <c r="D37" s="102"/>
      <c r="E37" s="102"/>
      <c r="F37" s="102"/>
      <c r="H37" s="99"/>
      <c r="I37" s="91"/>
      <c r="J37" s="97"/>
    </row>
    <row r="38" spans="1:10" ht="27" customHeight="1" x14ac:dyDescent="0.2">
      <c r="A38" s="89">
        <v>6.1</v>
      </c>
      <c r="B38" s="191" t="s">
        <v>74</v>
      </c>
      <c r="C38" s="191"/>
      <c r="D38" s="191"/>
      <c r="E38" s="191"/>
      <c r="F38" s="191"/>
      <c r="H38" s="99"/>
      <c r="I38" s="91" t="s">
        <v>45</v>
      </c>
      <c r="J38" s="100">
        <v>39871</v>
      </c>
    </row>
    <row r="39" spans="1:10" x14ac:dyDescent="0.2">
      <c r="A39" s="97"/>
      <c r="B39" s="97"/>
      <c r="C39" s="97"/>
      <c r="D39" s="97"/>
      <c r="E39" s="97"/>
      <c r="F39" s="97"/>
      <c r="H39" s="97"/>
      <c r="I39" s="97"/>
      <c r="J39" s="97"/>
    </row>
    <row r="40" spans="1:10" ht="12.75" customHeight="1" x14ac:dyDescent="0.2">
      <c r="A40" s="89">
        <v>6.2</v>
      </c>
      <c r="B40" s="191" t="s">
        <v>67</v>
      </c>
      <c r="C40" s="191"/>
      <c r="D40" s="191"/>
      <c r="E40" s="191"/>
      <c r="F40" s="191"/>
      <c r="H40" s="99"/>
      <c r="I40" s="91" t="s">
        <v>45</v>
      </c>
      <c r="J40" s="100">
        <v>38895</v>
      </c>
    </row>
    <row r="41" spans="1:10" ht="12.75" customHeight="1" x14ac:dyDescent="0.2">
      <c r="A41" s="89"/>
      <c r="B41" s="102"/>
      <c r="C41" s="102"/>
      <c r="D41" s="102"/>
      <c r="E41" s="102"/>
      <c r="F41" s="102"/>
      <c r="H41" s="99"/>
      <c r="I41" s="97"/>
      <c r="J41" s="97"/>
    </row>
    <row r="42" spans="1:10" ht="27.75" customHeight="1" x14ac:dyDescent="0.2">
      <c r="A42" s="89">
        <v>7</v>
      </c>
      <c r="B42" s="191" t="s">
        <v>75</v>
      </c>
      <c r="C42" s="191"/>
      <c r="D42" s="191"/>
      <c r="E42" s="191"/>
      <c r="F42" s="191"/>
      <c r="H42" s="99"/>
      <c r="I42" s="91" t="s">
        <v>45</v>
      </c>
      <c r="J42" s="100">
        <v>38895</v>
      </c>
    </row>
    <row r="43" spans="1:10" x14ac:dyDescent="0.2">
      <c r="A43" s="89"/>
      <c r="B43" s="102"/>
      <c r="C43" s="102"/>
      <c r="D43" s="102"/>
      <c r="E43" s="102"/>
      <c r="F43" s="102"/>
      <c r="H43" s="99"/>
      <c r="I43" s="97"/>
      <c r="J43" s="97"/>
    </row>
    <row r="44" spans="1:10" ht="53.25" customHeight="1" x14ac:dyDescent="0.2">
      <c r="A44" s="89">
        <v>8</v>
      </c>
      <c r="B44" s="191" t="s">
        <v>76</v>
      </c>
      <c r="C44" s="191"/>
      <c r="D44" s="191"/>
      <c r="E44" s="191"/>
      <c r="F44" s="191"/>
      <c r="H44" s="99"/>
      <c r="I44" s="91" t="s">
        <v>45</v>
      </c>
      <c r="J44" s="100">
        <v>38895</v>
      </c>
    </row>
    <row r="45" spans="1:10" x14ac:dyDescent="0.2">
      <c r="A45" s="89"/>
      <c r="B45" s="102"/>
      <c r="C45" s="102"/>
      <c r="D45" s="102"/>
      <c r="E45" s="102"/>
      <c r="F45" s="102"/>
      <c r="H45" s="99"/>
      <c r="I45" s="91"/>
      <c r="J45" s="97"/>
    </row>
    <row r="46" spans="1:10" ht="42.75" customHeight="1" x14ac:dyDescent="0.2">
      <c r="A46" s="89">
        <v>8.1</v>
      </c>
      <c r="B46" s="191" t="s">
        <v>77</v>
      </c>
      <c r="C46" s="191"/>
      <c r="D46" s="191"/>
      <c r="E46" s="191"/>
      <c r="F46" s="191"/>
      <c r="H46" s="99"/>
      <c r="I46" s="91" t="s">
        <v>45</v>
      </c>
      <c r="J46" s="100">
        <v>38895</v>
      </c>
    </row>
    <row r="47" spans="1:10" x14ac:dyDescent="0.2">
      <c r="A47" s="89"/>
      <c r="B47" s="102"/>
      <c r="C47" s="102"/>
      <c r="D47" s="102"/>
      <c r="E47" s="102"/>
      <c r="F47" s="102"/>
      <c r="H47" s="99"/>
      <c r="I47" s="91"/>
      <c r="J47" s="100"/>
    </row>
    <row r="48" spans="1:10" ht="96" customHeight="1" x14ac:dyDescent="0.2">
      <c r="A48" s="89">
        <v>8.1999999999999993</v>
      </c>
      <c r="B48" s="191" t="s">
        <v>78</v>
      </c>
      <c r="C48" s="191"/>
      <c r="D48" s="191"/>
      <c r="E48" s="191"/>
      <c r="F48" s="191"/>
      <c r="H48" s="99"/>
      <c r="I48" s="91" t="s">
        <v>45</v>
      </c>
      <c r="J48" s="100">
        <v>39871</v>
      </c>
    </row>
    <row r="49" spans="1:10" x14ac:dyDescent="0.2">
      <c r="A49" s="89"/>
      <c r="B49" s="102"/>
      <c r="C49" s="102"/>
      <c r="D49" s="102"/>
      <c r="E49" s="102"/>
      <c r="F49" s="102"/>
      <c r="H49" s="99"/>
      <c r="I49" s="97"/>
      <c r="J49" s="97"/>
    </row>
    <row r="50" spans="1:10" ht="54.75" customHeight="1" x14ac:dyDescent="0.2">
      <c r="A50" s="89">
        <v>9</v>
      </c>
      <c r="B50" s="191" t="s">
        <v>79</v>
      </c>
      <c r="C50" s="191"/>
      <c r="D50" s="191"/>
      <c r="E50" s="191"/>
      <c r="F50" s="191"/>
      <c r="H50" s="99"/>
      <c r="I50" s="91" t="s">
        <v>45</v>
      </c>
      <c r="J50" s="100">
        <v>38895</v>
      </c>
    </row>
    <row r="51" spans="1:10" x14ac:dyDescent="0.2">
      <c r="A51" s="89"/>
      <c r="B51" s="102"/>
      <c r="C51" s="102"/>
      <c r="D51" s="102"/>
      <c r="E51" s="102"/>
      <c r="F51" s="102"/>
      <c r="H51" s="99"/>
      <c r="I51" s="91"/>
      <c r="J51" s="97"/>
    </row>
    <row r="52" spans="1:10" ht="142.5" customHeight="1" x14ac:dyDescent="0.2">
      <c r="A52" s="89">
        <v>10</v>
      </c>
      <c r="B52" s="191" t="s">
        <v>68</v>
      </c>
      <c r="C52" s="191"/>
      <c r="D52" s="191"/>
      <c r="E52" s="191"/>
      <c r="F52" s="191"/>
      <c r="H52" s="99"/>
      <c r="I52" s="91" t="s">
        <v>45</v>
      </c>
      <c r="J52" s="100">
        <v>38895</v>
      </c>
    </row>
    <row r="53" spans="1:10" x14ac:dyDescent="0.2">
      <c r="A53" s="89"/>
      <c r="B53" s="102"/>
      <c r="C53" s="102"/>
      <c r="D53" s="102"/>
      <c r="E53" s="102"/>
      <c r="F53" s="102"/>
      <c r="H53" s="99"/>
      <c r="I53" s="97"/>
      <c r="J53" s="97"/>
    </row>
    <row r="54" spans="1:10" ht="40.5" customHeight="1" x14ac:dyDescent="0.2">
      <c r="A54" s="89">
        <v>10.1</v>
      </c>
      <c r="B54" s="191" t="s">
        <v>69</v>
      </c>
      <c r="C54" s="191"/>
      <c r="D54" s="191"/>
      <c r="E54" s="191"/>
      <c r="F54" s="191"/>
      <c r="H54" s="99"/>
      <c r="I54" s="91" t="s">
        <v>45</v>
      </c>
      <c r="J54" s="100">
        <v>39871</v>
      </c>
    </row>
    <row r="55" spans="1:10" ht="13.5" customHeight="1" x14ac:dyDescent="0.2">
      <c r="A55" s="89"/>
      <c r="B55" s="102"/>
      <c r="C55" s="102"/>
      <c r="D55" s="102"/>
      <c r="E55" s="102"/>
      <c r="F55" s="102"/>
      <c r="H55" s="99"/>
      <c r="I55" s="91"/>
      <c r="J55" s="97"/>
    </row>
    <row r="56" spans="1:10" ht="69" customHeight="1" x14ac:dyDescent="0.2">
      <c r="A56" s="92">
        <v>13.1</v>
      </c>
      <c r="B56" s="191" t="s">
        <v>80</v>
      </c>
      <c r="C56" s="191"/>
      <c r="D56" s="191"/>
      <c r="E56" s="191"/>
      <c r="F56" s="191"/>
      <c r="H56" s="99"/>
      <c r="I56" s="91" t="s">
        <v>45</v>
      </c>
      <c r="J56" s="100">
        <v>38895</v>
      </c>
    </row>
    <row r="57" spans="1:10" ht="12.75" customHeight="1" x14ac:dyDescent="0.2">
      <c r="A57" s="89"/>
      <c r="B57" s="102"/>
      <c r="C57" s="102"/>
      <c r="D57" s="102"/>
      <c r="E57" s="102"/>
      <c r="F57" s="102"/>
      <c r="H57" s="99"/>
      <c r="I57" s="97"/>
      <c r="J57" s="97"/>
    </row>
    <row r="58" spans="1:10" ht="15" customHeight="1" x14ac:dyDescent="0.2">
      <c r="A58" s="93">
        <v>13.2</v>
      </c>
      <c r="B58" s="191" t="s">
        <v>81</v>
      </c>
      <c r="C58" s="191"/>
      <c r="D58" s="191"/>
      <c r="E58" s="191"/>
      <c r="F58" s="191"/>
      <c r="H58" s="99"/>
      <c r="I58" s="91" t="s">
        <v>45</v>
      </c>
      <c r="J58" s="100">
        <v>38895</v>
      </c>
    </row>
    <row r="59" spans="1:10" ht="12.75" customHeight="1" x14ac:dyDescent="0.2">
      <c r="A59" s="89"/>
      <c r="B59" s="102"/>
      <c r="C59" s="102"/>
      <c r="D59" s="102"/>
      <c r="E59" s="102"/>
      <c r="F59" s="102"/>
      <c r="H59" s="99"/>
      <c r="I59" s="97"/>
      <c r="J59" s="97"/>
    </row>
    <row r="60" spans="1:10" ht="14.25" customHeight="1" x14ac:dyDescent="0.2">
      <c r="A60" s="92">
        <v>14.1</v>
      </c>
      <c r="B60" s="191" t="s">
        <v>82</v>
      </c>
      <c r="C60" s="191"/>
      <c r="D60" s="191"/>
      <c r="E60" s="191"/>
      <c r="F60" s="191"/>
      <c r="H60" s="99"/>
      <c r="I60" s="91" t="s">
        <v>45</v>
      </c>
      <c r="J60" s="100">
        <v>38895</v>
      </c>
    </row>
    <row r="61" spans="1:10" x14ac:dyDescent="0.2">
      <c r="A61" s="94"/>
      <c r="B61" s="102"/>
      <c r="C61" s="102"/>
      <c r="D61" s="102"/>
      <c r="E61" s="102"/>
      <c r="F61" s="102"/>
      <c r="H61" s="99"/>
      <c r="I61" s="97"/>
      <c r="J61" s="97"/>
    </row>
    <row r="62" spans="1:10" ht="15" customHeight="1" x14ac:dyDescent="0.2">
      <c r="A62" s="94">
        <v>14.2</v>
      </c>
      <c r="B62" s="191" t="s">
        <v>83</v>
      </c>
      <c r="C62" s="191"/>
      <c r="D62" s="191"/>
      <c r="E62" s="191"/>
      <c r="F62" s="191"/>
      <c r="H62" s="99"/>
      <c r="I62" s="91" t="s">
        <v>45</v>
      </c>
      <c r="J62" s="100">
        <v>38895</v>
      </c>
    </row>
    <row r="63" spans="1:10" x14ac:dyDescent="0.2">
      <c r="A63" s="89"/>
      <c r="B63" s="99"/>
      <c r="C63" s="99"/>
      <c r="D63" s="99"/>
      <c r="E63" s="99"/>
      <c r="F63" s="99"/>
      <c r="H63" s="99"/>
      <c r="I63" s="97"/>
      <c r="J63" s="97"/>
    </row>
    <row r="64" spans="1:10" ht="55.5" customHeight="1" x14ac:dyDescent="0.2">
      <c r="A64" s="89">
        <v>15.1</v>
      </c>
      <c r="B64" s="191" t="s">
        <v>84</v>
      </c>
      <c r="C64" s="191"/>
      <c r="D64" s="191"/>
      <c r="E64" s="191"/>
      <c r="F64" s="191"/>
      <c r="H64" s="99"/>
      <c r="I64" s="91" t="s">
        <v>45</v>
      </c>
      <c r="J64" s="100">
        <v>38895</v>
      </c>
    </row>
    <row r="65" spans="1:10" x14ac:dyDescent="0.2">
      <c r="A65" s="89"/>
      <c r="B65" s="99"/>
      <c r="C65" s="99"/>
      <c r="D65" s="99"/>
      <c r="E65" s="99"/>
      <c r="F65" s="99"/>
      <c r="H65" s="99"/>
      <c r="I65" s="97"/>
      <c r="J65" s="97"/>
    </row>
    <row r="66" spans="1:10" ht="39" customHeight="1" x14ac:dyDescent="0.2">
      <c r="A66" s="89">
        <v>15.2</v>
      </c>
      <c r="B66" s="191" t="s">
        <v>70</v>
      </c>
      <c r="C66" s="191"/>
      <c r="D66" s="191"/>
      <c r="E66" s="191"/>
      <c r="F66" s="191"/>
      <c r="H66" s="99"/>
      <c r="I66" s="91" t="s">
        <v>45</v>
      </c>
      <c r="J66" s="100">
        <v>38895</v>
      </c>
    </row>
    <row r="67" spans="1:10" x14ac:dyDescent="0.2">
      <c r="A67" s="89"/>
      <c r="B67" s="99"/>
      <c r="C67" s="99"/>
      <c r="D67" s="99"/>
      <c r="E67" s="99"/>
      <c r="F67" s="99"/>
      <c r="H67" s="99"/>
      <c r="I67" s="97"/>
      <c r="J67" s="97"/>
    </row>
    <row r="68" spans="1:10" ht="66.75" customHeight="1" x14ac:dyDescent="0.2">
      <c r="A68" s="89">
        <v>15.3</v>
      </c>
      <c r="B68" s="191" t="s">
        <v>85</v>
      </c>
      <c r="C68" s="191"/>
      <c r="D68" s="191"/>
      <c r="E68" s="191"/>
      <c r="F68" s="191"/>
      <c r="H68" s="97"/>
      <c r="I68" s="91" t="s">
        <v>45</v>
      </c>
      <c r="J68" s="100">
        <v>38895</v>
      </c>
    </row>
    <row r="69" spans="1:10" x14ac:dyDescent="0.2">
      <c r="A69" s="89"/>
      <c r="B69" s="99"/>
      <c r="C69" s="99"/>
      <c r="D69" s="99"/>
      <c r="E69" s="99"/>
      <c r="F69" s="99"/>
      <c r="H69" s="99"/>
      <c r="I69" s="97"/>
      <c r="J69" s="97"/>
    </row>
    <row r="70" spans="1:10" ht="27.75" customHeight="1" x14ac:dyDescent="0.2">
      <c r="A70" s="89">
        <v>15.4</v>
      </c>
      <c r="B70" s="191" t="s">
        <v>86</v>
      </c>
      <c r="C70" s="191"/>
      <c r="D70" s="191"/>
      <c r="E70" s="191"/>
      <c r="F70" s="191"/>
      <c r="H70" s="99"/>
      <c r="I70" s="91" t="s">
        <v>45</v>
      </c>
      <c r="J70" s="100">
        <v>38895</v>
      </c>
    </row>
    <row r="71" spans="1:10" x14ac:dyDescent="0.2">
      <c r="A71" s="97"/>
      <c r="B71" s="97"/>
      <c r="C71" s="97"/>
      <c r="D71" s="97"/>
      <c r="E71" s="97"/>
      <c r="F71" s="97"/>
      <c r="H71" s="99"/>
      <c r="I71" s="97"/>
      <c r="J71" s="97"/>
    </row>
    <row r="72" spans="1:10" ht="25.5" x14ac:dyDescent="0.2">
      <c r="A72" s="89">
        <v>99.1</v>
      </c>
      <c r="B72" s="191" t="s">
        <v>71</v>
      </c>
      <c r="C72" s="191"/>
      <c r="D72" s="191"/>
      <c r="E72" s="191"/>
      <c r="F72" s="191"/>
      <c r="H72" s="99"/>
      <c r="I72" s="91" t="s">
        <v>45</v>
      </c>
      <c r="J72" s="100">
        <v>39871</v>
      </c>
    </row>
    <row r="73" spans="1:10" x14ac:dyDescent="0.2">
      <c r="A73" s="89"/>
      <c r="B73" s="99"/>
      <c r="C73" s="99"/>
      <c r="D73" s="99"/>
      <c r="E73" s="99"/>
      <c r="F73" s="99"/>
      <c r="H73" s="99"/>
      <c r="I73" s="97"/>
      <c r="J73" s="97"/>
    </row>
    <row r="74" spans="1:10" x14ac:dyDescent="0.2">
      <c r="A74" s="95"/>
      <c r="B74" s="101"/>
      <c r="C74" s="101"/>
      <c r="D74" s="101"/>
      <c r="E74" s="101"/>
      <c r="F74" s="101"/>
      <c r="H74" s="101"/>
      <c r="I74" s="96"/>
    </row>
    <row r="75" spans="1:10" x14ac:dyDescent="0.2">
      <c r="A75" s="95"/>
      <c r="B75" s="190"/>
      <c r="C75" s="190"/>
      <c r="D75" s="190"/>
      <c r="E75" s="190"/>
      <c r="F75" s="190"/>
    </row>
    <row r="76" spans="1:10" x14ac:dyDescent="0.2">
      <c r="A76" s="95"/>
      <c r="B76" s="101"/>
      <c r="C76" s="101"/>
      <c r="D76" s="101"/>
      <c r="E76" s="101"/>
      <c r="F76" s="101"/>
      <c r="H76" s="101"/>
      <c r="I76" s="96"/>
    </row>
    <row r="77" spans="1:10" x14ac:dyDescent="0.2">
      <c r="A77" s="95"/>
      <c r="B77" s="190"/>
      <c r="C77" s="190"/>
      <c r="D77" s="190"/>
      <c r="E77" s="190"/>
      <c r="F77" s="190"/>
      <c r="H77" s="101"/>
    </row>
    <row r="78" spans="1:10" x14ac:dyDescent="0.2">
      <c r="H78" s="101"/>
      <c r="I78" s="96"/>
    </row>
    <row r="79" spans="1:10" x14ac:dyDescent="0.2">
      <c r="A79" s="95"/>
      <c r="B79" s="190"/>
      <c r="C79" s="190"/>
      <c r="D79" s="190"/>
      <c r="E79" s="190"/>
      <c r="F79" s="190"/>
      <c r="H79" s="101"/>
    </row>
    <row r="80" spans="1:10" x14ac:dyDescent="0.2">
      <c r="A80" s="95"/>
      <c r="B80" s="101"/>
      <c r="C80" s="101"/>
      <c r="D80" s="101"/>
      <c r="E80" s="101"/>
      <c r="F80" s="101"/>
      <c r="H80" s="101"/>
      <c r="I80" s="96"/>
    </row>
    <row r="81" spans="1:6" x14ac:dyDescent="0.2">
      <c r="A81" s="95"/>
      <c r="B81" s="190"/>
      <c r="C81" s="190"/>
      <c r="D81" s="190"/>
      <c r="E81" s="190"/>
      <c r="F81" s="190"/>
    </row>
    <row r="82" spans="1:6" x14ac:dyDescent="0.2">
      <c r="A82" s="95"/>
      <c r="B82" s="101"/>
      <c r="C82" s="101"/>
      <c r="D82" s="101"/>
      <c r="E82" s="101"/>
      <c r="F82" s="101"/>
    </row>
    <row r="83" spans="1:6" x14ac:dyDescent="0.2">
      <c r="A83" s="95"/>
      <c r="B83" s="190"/>
      <c r="C83" s="190"/>
      <c r="D83" s="190"/>
      <c r="E83" s="190"/>
      <c r="F83" s="190"/>
    </row>
  </sheetData>
  <mergeCells count="37">
    <mergeCell ref="B13:F13"/>
    <mergeCell ref="A1:F1"/>
    <mergeCell ref="B3:F3"/>
    <mergeCell ref="B4:F4"/>
    <mergeCell ref="B7:F7"/>
    <mergeCell ref="B9:F9"/>
    <mergeCell ref="B44:F44"/>
    <mergeCell ref="B15:F15"/>
    <mergeCell ref="C16:E16"/>
    <mergeCell ref="B26:F26"/>
    <mergeCell ref="B28:F28"/>
    <mergeCell ref="B30:F30"/>
    <mergeCell ref="B32:F32"/>
    <mergeCell ref="B34:F34"/>
    <mergeCell ref="B36:F36"/>
    <mergeCell ref="B38:F38"/>
    <mergeCell ref="B40:F40"/>
    <mergeCell ref="B42:F42"/>
    <mergeCell ref="B68:F68"/>
    <mergeCell ref="B46:F46"/>
    <mergeCell ref="B48:F48"/>
    <mergeCell ref="B50:F50"/>
    <mergeCell ref="B52:F52"/>
    <mergeCell ref="B54:F54"/>
    <mergeCell ref="B56:F56"/>
    <mergeCell ref="B58:F58"/>
    <mergeCell ref="B60:F60"/>
    <mergeCell ref="B62:F62"/>
    <mergeCell ref="B64:F64"/>
    <mergeCell ref="B66:F66"/>
    <mergeCell ref="B83:F83"/>
    <mergeCell ref="B70:F70"/>
    <mergeCell ref="B72:F72"/>
    <mergeCell ref="B75:F75"/>
    <mergeCell ref="B77:F77"/>
    <mergeCell ref="B79:F79"/>
    <mergeCell ref="B81:F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W27"/>
  <sheetViews>
    <sheetView zoomScale="85" zoomScaleNormal="85" workbookViewId="0">
      <selection activeCell="C27" sqref="C27"/>
    </sheetView>
  </sheetViews>
  <sheetFormatPr defaultRowHeight="15" x14ac:dyDescent="0.25"/>
  <cols>
    <col min="2" max="2" width="23.5703125" bestFit="1" customWidth="1"/>
    <col min="3" max="3" width="9.7109375" bestFit="1" customWidth="1"/>
    <col min="4" max="4" width="7.28515625" customWidth="1"/>
    <col min="5" max="5" width="7.140625" customWidth="1"/>
    <col min="6" max="6" width="6.28515625" customWidth="1"/>
    <col min="7" max="7" width="6.7109375" customWidth="1"/>
    <col min="8" max="8" width="6.42578125" customWidth="1"/>
    <col min="9" max="9" width="7" customWidth="1"/>
    <col min="10" max="10" width="6.7109375" customWidth="1"/>
    <col min="11" max="11" width="6.7109375" bestFit="1" customWidth="1"/>
    <col min="12" max="12" width="6.7109375" customWidth="1"/>
    <col min="13" max="13" width="6.7109375" bestFit="1" customWidth="1"/>
    <col min="15" max="15" width="6.140625" customWidth="1"/>
    <col min="16" max="16" width="6.28515625" customWidth="1"/>
    <col min="17" max="17" width="5.85546875" customWidth="1"/>
  </cols>
  <sheetData>
    <row r="1" spans="1:21" x14ac:dyDescent="0.25">
      <c r="A1" s="116" t="s">
        <v>87</v>
      </c>
      <c r="B1" s="117" t="s">
        <v>104</v>
      </c>
      <c r="C1" s="110" t="s">
        <v>15</v>
      </c>
      <c r="D1" s="122" t="s">
        <v>88</v>
      </c>
      <c r="E1" s="110" t="s">
        <v>89</v>
      </c>
      <c r="F1" s="122" t="s">
        <v>90</v>
      </c>
      <c r="G1" s="110" t="s">
        <v>91</v>
      </c>
      <c r="H1" s="110" t="s">
        <v>23</v>
      </c>
      <c r="I1" s="110" t="s">
        <v>92</v>
      </c>
      <c r="J1" s="110" t="s">
        <v>26</v>
      </c>
      <c r="K1" s="110" t="s">
        <v>92</v>
      </c>
      <c r="L1" s="110" t="s">
        <v>27</v>
      </c>
      <c r="M1" s="110" t="s">
        <v>92</v>
      </c>
      <c r="N1" s="110" t="s">
        <v>11</v>
      </c>
      <c r="O1" s="110" t="s">
        <v>93</v>
      </c>
      <c r="P1" s="111" t="s">
        <v>93</v>
      </c>
      <c r="Q1" s="111"/>
      <c r="R1" s="111" t="s">
        <v>94</v>
      </c>
      <c r="S1" s="111" t="s">
        <v>93</v>
      </c>
      <c r="T1" s="111" t="s">
        <v>93</v>
      </c>
      <c r="U1" s="112"/>
    </row>
    <row r="2" spans="1:21" ht="15.75" thickBot="1" x14ac:dyDescent="0.3">
      <c r="A2" s="108"/>
      <c r="B2" s="109"/>
      <c r="C2" s="113" t="s">
        <v>16</v>
      </c>
      <c r="D2" s="123" t="s">
        <v>95</v>
      </c>
      <c r="E2" s="113" t="s">
        <v>96</v>
      </c>
      <c r="F2" s="123"/>
      <c r="G2" s="113" t="s">
        <v>96</v>
      </c>
      <c r="H2" s="123"/>
      <c r="I2" s="113" t="s">
        <v>97</v>
      </c>
      <c r="J2" s="113" t="s">
        <v>98</v>
      </c>
      <c r="K2" s="113" t="s">
        <v>97</v>
      </c>
      <c r="L2" s="123" t="s">
        <v>99</v>
      </c>
      <c r="M2" s="113" t="s">
        <v>100</v>
      </c>
      <c r="N2" s="113" t="s">
        <v>25</v>
      </c>
      <c r="O2" s="113" t="s">
        <v>101</v>
      </c>
      <c r="P2" s="114" t="s">
        <v>102</v>
      </c>
      <c r="Q2" s="114" t="s">
        <v>103</v>
      </c>
      <c r="R2" s="114" t="s">
        <v>25</v>
      </c>
      <c r="S2" s="114" t="s">
        <v>101</v>
      </c>
      <c r="T2" s="114" t="s">
        <v>102</v>
      </c>
      <c r="U2" s="115" t="s">
        <v>103</v>
      </c>
    </row>
    <row r="3" spans="1:21" x14ac:dyDescent="0.25">
      <c r="A3">
        <v>1</v>
      </c>
      <c r="B3" t="s">
        <v>105</v>
      </c>
      <c r="C3" s="121"/>
      <c r="E3" s="121"/>
      <c r="G3" s="121"/>
      <c r="I3" s="120"/>
      <c r="K3" s="121"/>
      <c r="M3" s="120"/>
      <c r="Q3" s="120"/>
      <c r="U3" s="120"/>
    </row>
    <row r="4" spans="1:21" x14ac:dyDescent="0.25">
      <c r="A4">
        <v>2</v>
      </c>
      <c r="B4" t="s">
        <v>106</v>
      </c>
      <c r="C4" s="121"/>
      <c r="E4" s="121"/>
      <c r="G4" s="121"/>
      <c r="I4" s="121"/>
      <c r="K4" s="121"/>
      <c r="M4" s="121"/>
      <c r="Q4" s="121"/>
      <c r="U4" s="121"/>
    </row>
    <row r="5" spans="1:21" x14ac:dyDescent="0.25">
      <c r="A5">
        <v>3</v>
      </c>
      <c r="C5" s="121"/>
      <c r="E5" s="121"/>
      <c r="G5" s="121"/>
      <c r="I5" s="121"/>
      <c r="K5" s="121"/>
      <c r="M5" s="121"/>
      <c r="Q5" s="121"/>
      <c r="U5" s="121"/>
    </row>
    <row r="6" spans="1:21" x14ac:dyDescent="0.25">
      <c r="A6">
        <v>21</v>
      </c>
      <c r="C6" s="121"/>
      <c r="E6" s="121"/>
      <c r="G6" s="121"/>
      <c r="I6" s="121"/>
      <c r="K6" s="121"/>
      <c r="M6" s="121"/>
      <c r="Q6" s="121"/>
      <c r="U6" s="121"/>
    </row>
    <row r="7" spans="1:21" x14ac:dyDescent="0.25">
      <c r="A7">
        <v>22</v>
      </c>
      <c r="B7" t="s">
        <v>112</v>
      </c>
      <c r="C7" s="121"/>
      <c r="D7">
        <f>'User Input'!Y7</f>
        <v>0</v>
      </c>
      <c r="E7" s="121"/>
      <c r="F7">
        <v>1</v>
      </c>
      <c r="G7" s="121"/>
      <c r="I7" s="121"/>
      <c r="K7" s="121"/>
      <c r="M7" s="121"/>
      <c r="Q7" s="121"/>
      <c r="U7" s="121"/>
    </row>
    <row r="8" spans="1:21" x14ac:dyDescent="0.25">
      <c r="A8">
        <v>23</v>
      </c>
      <c r="B8" t="s">
        <v>110</v>
      </c>
      <c r="C8" s="121">
        <f>I23*'User Input'!W7/100</f>
        <v>0</v>
      </c>
      <c r="D8">
        <f>MAX('User Input'!Y7,'User Input'!P11)</f>
        <v>0</v>
      </c>
      <c r="E8">
        <f>IF(C8&gt;0, C8/D8*1000/60,0)</f>
        <v>0</v>
      </c>
      <c r="F8">
        <f>'User Input'!W16</f>
        <v>0.1</v>
      </c>
      <c r="G8" s="121">
        <f>E8*F8</f>
        <v>0</v>
      </c>
      <c r="H8">
        <f>'User Input'!M13</f>
        <v>0</v>
      </c>
      <c r="I8" s="121">
        <f>CEILING(H8,0.5)</f>
        <v>0</v>
      </c>
      <c r="J8">
        <f>'User Input'!M11</f>
        <v>0</v>
      </c>
      <c r="K8" s="121">
        <f>IF(J8&lt;0,0,CEILING(J8,0.2))</f>
        <v>0</v>
      </c>
      <c r="L8">
        <f>'User Input'!$E$11</f>
        <v>0</v>
      </c>
      <c r="M8" s="121">
        <f>IF(L8&lt;5,0.5,FLOOR(L8,5))</f>
        <v>0.5</v>
      </c>
      <c r="N8" t="e">
        <f>VLOOKUP(K8,'Giardia CT'!$S$4:$X$18,2*I8-12)</f>
        <v>#VALUE!</v>
      </c>
      <c r="O8" t="e">
        <f>N8*J8*G8</f>
        <v>#VALUE!</v>
      </c>
      <c r="P8">
        <f>IF(J8=0,0,J8*G8/(0.2828*H8^2.69*J8^0.15*0.933^(L8-5)))</f>
        <v>0</v>
      </c>
      <c r="Q8" s="121" t="e">
        <f>MAX(O8:P8)</f>
        <v>#VALUE!</v>
      </c>
      <c r="R8">
        <f>IF(K8=0, 0,VLOOKUP(M8,'Virus CT'!$H$6:$I$11,2))</f>
        <v>0</v>
      </c>
      <c r="S8">
        <f>R8*J8*G8</f>
        <v>0</v>
      </c>
      <c r="T8">
        <f>IF(J8=0,0,(J8*G8*EXP(0.071*M8)-0.42)/2.94)</f>
        <v>0</v>
      </c>
      <c r="U8" s="121">
        <f>MAX(S8:T8)</f>
        <v>0</v>
      </c>
    </row>
    <row r="9" spans="1:21" x14ac:dyDescent="0.25">
      <c r="A9">
        <v>24</v>
      </c>
      <c r="B9" t="s">
        <v>109</v>
      </c>
      <c r="C9" s="121">
        <f>$I$24</f>
        <v>23.561944901923447</v>
      </c>
      <c r="D9">
        <f>'User Input'!$P$11</f>
        <v>0</v>
      </c>
      <c r="E9" t="e">
        <f t="shared" ref="E9:E10" si="0">IF(C9&gt;0, C9/D9*1000/60,0)</f>
        <v>#DIV/0!</v>
      </c>
      <c r="F9">
        <v>1</v>
      </c>
      <c r="G9" s="121" t="e">
        <f>E9*F9</f>
        <v>#DIV/0!</v>
      </c>
      <c r="H9">
        <f>'User Input'!M13</f>
        <v>0</v>
      </c>
      <c r="I9" s="121">
        <f t="shared" ref="I9:I11" si="1">CEILING(H9,0.5)</f>
        <v>0</v>
      </c>
      <c r="J9">
        <f>'User Input'!M11</f>
        <v>0</v>
      </c>
      <c r="K9" s="121">
        <f t="shared" ref="K9:K11" si="2">IF(J9&lt;0,0,CEILING(J9,0.2))</f>
        <v>0</v>
      </c>
      <c r="L9">
        <f>'User Input'!$E$11</f>
        <v>0</v>
      </c>
      <c r="M9" s="121">
        <f>IF(L9&lt;5,0.5,FLOOR(L9,5))</f>
        <v>0.5</v>
      </c>
      <c r="N9" t="e">
        <f>VLOOKUP(K9,'Giardia CT'!$S$4:$X$18,2*I9-12)</f>
        <v>#VALUE!</v>
      </c>
      <c r="O9" t="e">
        <f t="shared" ref="O9:O10" si="3">N9*J9*G9</f>
        <v>#VALUE!</v>
      </c>
      <c r="P9">
        <f t="shared" ref="P9:P10" si="4">IF(J9=0,0,J9*G9/(0.2828*H9^2.69*J9^0.15*0.933^(L9-5)))</f>
        <v>0</v>
      </c>
      <c r="Q9" s="121" t="e">
        <f>MAX(O9:P9)</f>
        <v>#VALUE!</v>
      </c>
      <c r="R9">
        <f>IF(K9=0, 0,VLOOKUP(M9,'Virus CT'!$H$6:$I$11,2))</f>
        <v>0</v>
      </c>
      <c r="S9" t="e">
        <f>R9*J9*G9</f>
        <v>#DIV/0!</v>
      </c>
      <c r="T9">
        <f>IF(J9=0,0,(J9*G9*EXP(0.071*M9)-0.42)/2.94)</f>
        <v>0</v>
      </c>
      <c r="U9" s="121" t="e">
        <f>MAX(S9:T9)</f>
        <v>#DIV/0!</v>
      </c>
    </row>
    <row r="10" spans="1:21" x14ac:dyDescent="0.25">
      <c r="A10">
        <v>25</v>
      </c>
      <c r="B10" t="s">
        <v>108</v>
      </c>
      <c r="C10" s="121">
        <f>I25*'User Input'!L7/100+300</f>
        <v>300</v>
      </c>
      <c r="D10">
        <f>MAX('User Input'!P11,'User Input'!B14)</f>
        <v>0</v>
      </c>
      <c r="E10" t="e">
        <f t="shared" si="0"/>
        <v>#DIV/0!</v>
      </c>
      <c r="F10">
        <f>'User Input'!J9</f>
        <v>0.1</v>
      </c>
      <c r="G10" s="121" t="e">
        <f t="shared" ref="G10:G11" si="5">E10*F10</f>
        <v>#DIV/0!</v>
      </c>
      <c r="H10">
        <f>'User Input'!E14</f>
        <v>0</v>
      </c>
      <c r="I10" s="121">
        <f t="shared" si="1"/>
        <v>0</v>
      </c>
      <c r="J10">
        <f>'User Input'!B11</f>
        <v>0</v>
      </c>
      <c r="K10" s="121">
        <f t="shared" si="2"/>
        <v>0</v>
      </c>
      <c r="L10">
        <f>'User Input'!$E$11</f>
        <v>0</v>
      </c>
      <c r="M10" s="121">
        <f t="shared" ref="M10:M11" si="6">IF(L10&lt;5,0.5,FLOOR(L10,5))</f>
        <v>0.5</v>
      </c>
      <c r="N10" t="e">
        <f>VLOOKUP(K10,'Giardia CT'!$S$4:$X$18,2*I10-12)</f>
        <v>#VALUE!</v>
      </c>
      <c r="O10" t="e">
        <f t="shared" si="3"/>
        <v>#VALUE!</v>
      </c>
      <c r="P10">
        <f t="shared" si="4"/>
        <v>0</v>
      </c>
      <c r="Q10" s="121" t="e">
        <f>MAX(O10:P10)</f>
        <v>#VALUE!</v>
      </c>
      <c r="R10">
        <f>IF(K10=0, 0,VLOOKUP(M10,'Virus CT'!$H$6:$I$11,2))</f>
        <v>0</v>
      </c>
      <c r="S10" t="e">
        <f>R10*J10*G10</f>
        <v>#DIV/0!</v>
      </c>
      <c r="T10">
        <f>IF(J10=0,0,(J10*G10*EXP(0.071*M10)-0.42)/2.94)</f>
        <v>0</v>
      </c>
      <c r="U10" s="121" t="e">
        <f>MAX(S10:T10)</f>
        <v>#DIV/0!</v>
      </c>
    </row>
    <row r="11" spans="1:21" x14ac:dyDescent="0.25">
      <c r="A11">
        <v>26</v>
      </c>
      <c r="B11" t="s">
        <v>107</v>
      </c>
      <c r="C11" s="121"/>
      <c r="D11">
        <f>'User Input'!B14</f>
        <v>0</v>
      </c>
      <c r="E11" s="121"/>
      <c r="F11">
        <v>1</v>
      </c>
      <c r="G11" s="121">
        <f t="shared" si="5"/>
        <v>0</v>
      </c>
      <c r="H11">
        <f>'User Input'!E14</f>
        <v>0</v>
      </c>
      <c r="I11" s="121">
        <f t="shared" si="1"/>
        <v>0</v>
      </c>
      <c r="J11">
        <f>'User Input'!B11</f>
        <v>0</v>
      </c>
      <c r="K11" s="121">
        <f t="shared" si="2"/>
        <v>0</v>
      </c>
      <c r="L11">
        <f>'User Input'!$E$11</f>
        <v>0</v>
      </c>
      <c r="M11" s="121">
        <f t="shared" si="6"/>
        <v>0.5</v>
      </c>
      <c r="N11" t="e">
        <f>VLOOKUP(K11,'Giardia CT'!$S$4:$X$18,2*I11-12)</f>
        <v>#VALUE!</v>
      </c>
      <c r="Q11" s="121">
        <f>MAX(O11:P11)</f>
        <v>0</v>
      </c>
      <c r="R11">
        <f>IF(K11=0, 0,VLOOKUP(M11,'Virus CT'!$H$6:$I$11,2))</f>
        <v>0</v>
      </c>
      <c r="U11" s="121">
        <f>MAX(S11:T11)</f>
        <v>0</v>
      </c>
    </row>
    <row r="14" spans="1:21" x14ac:dyDescent="0.25">
      <c r="B14" t="s">
        <v>14</v>
      </c>
    </row>
    <row r="15" spans="1:21" x14ac:dyDescent="0.25">
      <c r="B15" t="s">
        <v>110</v>
      </c>
      <c r="C15">
        <f>MIN(C8+(D7-D9)*3600*4/1000,100)</f>
        <v>0</v>
      </c>
      <c r="D15">
        <f>D8</f>
        <v>0</v>
      </c>
      <c r="E15">
        <f>IF(C15&gt;0, C15/D15*1000/60,0)</f>
        <v>0</v>
      </c>
      <c r="F15">
        <v>0.1</v>
      </c>
      <c r="G15">
        <f>E15*F15</f>
        <v>0</v>
      </c>
      <c r="H15">
        <f>H8</f>
        <v>0</v>
      </c>
      <c r="I15" s="121">
        <f>CEILING(H15,0.5)</f>
        <v>0</v>
      </c>
      <c r="J15">
        <f>J8</f>
        <v>0</v>
      </c>
      <c r="K15">
        <f t="shared" ref="K15:M15" si="7">K9</f>
        <v>0</v>
      </c>
      <c r="L15">
        <f t="shared" si="7"/>
        <v>0</v>
      </c>
      <c r="M15">
        <f t="shared" si="7"/>
        <v>0.5</v>
      </c>
      <c r="N15" t="e">
        <f>VLOOKUP(K15,'Giardia CT'!$S$4:$X$18,2*I15-12)</f>
        <v>#VALUE!</v>
      </c>
      <c r="O15" t="e">
        <f>N15*J15*G15</f>
        <v>#VALUE!</v>
      </c>
      <c r="P15">
        <f>IF(J15=0,0,J15*G15/(0.2828*H15^2.69*J15^0.15*0.933^(L15-5)))</f>
        <v>0</v>
      </c>
      <c r="Q15" s="3" t="e">
        <f>MAX(O15:P15)</f>
        <v>#VALUE!</v>
      </c>
      <c r="R15">
        <f>IF(K15=0, 0,VLOOKUP(M15,'Virus CT'!$H$6:$I$11,2))</f>
        <v>0</v>
      </c>
      <c r="S15">
        <f>R15*J15*G15</f>
        <v>0</v>
      </c>
      <c r="T15">
        <f>IF(J15=0,0,(J15*G15*EXP(0.071*L15)-0.42)/2.94)</f>
        <v>0</v>
      </c>
      <c r="U15" s="3">
        <f>MAX(S15:T15)</f>
        <v>0</v>
      </c>
    </row>
    <row r="16" spans="1:21" x14ac:dyDescent="0.25">
      <c r="A16">
        <v>24</v>
      </c>
      <c r="B16" t="s">
        <v>109</v>
      </c>
      <c r="C16" s="121">
        <f>$I$24</f>
        <v>23.561944901923447</v>
      </c>
      <c r="D16">
        <f t="shared" ref="D16:D17" si="8">D9</f>
        <v>0</v>
      </c>
      <c r="E16" t="e">
        <f t="shared" ref="E16:E17" si="9">IF(C16&gt;0, C16/D16*1000/60,0)</f>
        <v>#DIV/0!</v>
      </c>
      <c r="F16">
        <v>1</v>
      </c>
      <c r="G16" s="121" t="e">
        <f>E16*F16</f>
        <v>#DIV/0!</v>
      </c>
      <c r="H16">
        <f t="shared" ref="H16:H17" si="10">H9</f>
        <v>0</v>
      </c>
      <c r="I16" s="121">
        <f>CEILING(H16,0.5)</f>
        <v>0</v>
      </c>
      <c r="J16">
        <f t="shared" ref="J16:J17" si="11">J9</f>
        <v>0</v>
      </c>
      <c r="K16" s="121">
        <f t="shared" ref="K16" si="12">IF(J16&lt;0,0,CEILING(J16,0.2))</f>
        <v>0</v>
      </c>
      <c r="L16">
        <f>'User Input'!$E$11</f>
        <v>0</v>
      </c>
      <c r="M16" s="121">
        <f>IF(L16&lt;5,0.5,FLOOR(L16,5))</f>
        <v>0.5</v>
      </c>
      <c r="N16" t="e">
        <f>VLOOKUP(K16,'Giardia CT'!$S$4:$X$18,2*I16-12)</f>
        <v>#VALUE!</v>
      </c>
      <c r="O16" t="e">
        <f t="shared" ref="O16" si="13">N16*J16*G16</f>
        <v>#VALUE!</v>
      </c>
      <c r="P16">
        <f t="shared" ref="P16:P17" si="14">IF(J16=0,0,J16*G16/(0.2828*H16^2.69*J16^0.15*0.933^(L16-5)))</f>
        <v>0</v>
      </c>
      <c r="Q16" s="121" t="e">
        <f>MAX(O16:P16)</f>
        <v>#VALUE!</v>
      </c>
      <c r="R16">
        <f>IF(K16=0, 0,VLOOKUP(M16,'Virus CT'!$H$6:$I$11,2))</f>
        <v>0</v>
      </c>
      <c r="S16" t="e">
        <f>R16*J16*G16</f>
        <v>#DIV/0!</v>
      </c>
      <c r="T16">
        <f t="shared" ref="T16:T17" si="15">IF(J16=0,0,(J16*G16*EXP(0.071*L16)-0.42)/2.94)</f>
        <v>0</v>
      </c>
      <c r="U16" s="121" t="e">
        <f>MAX(S16:T16)</f>
        <v>#DIV/0!</v>
      </c>
    </row>
    <row r="17" spans="2:23" x14ac:dyDescent="0.25">
      <c r="B17" t="s">
        <v>108</v>
      </c>
      <c r="C17">
        <f>MIN(C10+(D9-D11)*3600*4/1000,1300)</f>
        <v>300</v>
      </c>
      <c r="D17">
        <f t="shared" si="8"/>
        <v>0</v>
      </c>
      <c r="E17" t="e">
        <f t="shared" si="9"/>
        <v>#DIV/0!</v>
      </c>
      <c r="F17">
        <v>0.1</v>
      </c>
      <c r="G17" t="e">
        <f>E17*F17</f>
        <v>#DIV/0!</v>
      </c>
      <c r="H17">
        <f t="shared" si="10"/>
        <v>0</v>
      </c>
      <c r="I17" s="121">
        <f>CEILING(H17,0.5)</f>
        <v>0</v>
      </c>
      <c r="J17">
        <f t="shared" si="11"/>
        <v>0</v>
      </c>
      <c r="K17">
        <f t="shared" ref="K17:M17" si="16">K10</f>
        <v>0</v>
      </c>
      <c r="L17">
        <f t="shared" si="16"/>
        <v>0</v>
      </c>
      <c r="M17">
        <f t="shared" si="16"/>
        <v>0.5</v>
      </c>
      <c r="N17" t="e">
        <f>VLOOKUP(K17,'Giardia CT'!$S$4:$X$18,2*I17-12)</f>
        <v>#VALUE!</v>
      </c>
      <c r="O17" t="e">
        <f>N17*J17*G17</f>
        <v>#VALUE!</v>
      </c>
      <c r="P17">
        <f t="shared" si="14"/>
        <v>0</v>
      </c>
      <c r="Q17" s="3" t="e">
        <f>MAX(O17:P17)</f>
        <v>#VALUE!</v>
      </c>
      <c r="R17">
        <f>IF(K17=0, 0,VLOOKUP(M17,'Virus CT'!$H$6:$I$11,2))</f>
        <v>0</v>
      </c>
      <c r="S17" t="e">
        <f>R17*J17*G17</f>
        <v>#DIV/0!</v>
      </c>
      <c r="T17">
        <f t="shared" si="15"/>
        <v>0</v>
      </c>
      <c r="U17" s="3" t="e">
        <f>MAX(S17:T17)</f>
        <v>#DIV/0!</v>
      </c>
    </row>
    <row r="18" spans="2:23" x14ac:dyDescent="0.25">
      <c r="W18" s="3"/>
    </row>
    <row r="21" spans="2:23" x14ac:dyDescent="0.25">
      <c r="B21" s="80" t="s">
        <v>8</v>
      </c>
      <c r="C21" s="80"/>
      <c r="D21" s="80"/>
    </row>
    <row r="22" spans="2:23" x14ac:dyDescent="0.25">
      <c r="B22" s="80"/>
      <c r="C22" s="80" t="s">
        <v>9</v>
      </c>
      <c r="D22" s="80"/>
      <c r="F22" s="119" t="s">
        <v>120</v>
      </c>
      <c r="G22" s="119"/>
      <c r="H22" s="119"/>
      <c r="I22" s="119"/>
    </row>
    <row r="23" spans="2:23" x14ac:dyDescent="0.25">
      <c r="B23" s="80" t="s">
        <v>10</v>
      </c>
      <c r="C23" s="80" t="s">
        <v>11</v>
      </c>
      <c r="D23" s="80" t="s">
        <v>115</v>
      </c>
      <c r="F23" s="119" t="s">
        <v>110</v>
      </c>
      <c r="G23" s="119"/>
      <c r="H23" s="119"/>
      <c r="I23" s="119">
        <v>100</v>
      </c>
      <c r="M23" s="124" t="s">
        <v>116</v>
      </c>
      <c r="N23" s="124"/>
    </row>
    <row r="24" spans="2:23" x14ac:dyDescent="0.25">
      <c r="B24" s="80" t="s">
        <v>13</v>
      </c>
      <c r="C24" s="80" t="e">
        <f>SUM(Q8:Q10)</f>
        <v>#VALUE!</v>
      </c>
      <c r="D24" s="80" t="e">
        <f>SUM(U8:U10)</f>
        <v>#DIV/0!</v>
      </c>
      <c r="F24" s="119" t="s">
        <v>121</v>
      </c>
      <c r="G24" s="119"/>
      <c r="H24" s="119"/>
      <c r="I24" s="119">
        <v>23.561944901923447</v>
      </c>
      <c r="M24" t="s">
        <v>11</v>
      </c>
      <c r="N24" s="125" t="s">
        <v>117</v>
      </c>
    </row>
    <row r="25" spans="2:23" x14ac:dyDescent="0.25">
      <c r="B25" s="80" t="s">
        <v>126</v>
      </c>
      <c r="C25" s="80" t="e">
        <f>SUM(Q15:Q17)</f>
        <v>#VALUE!</v>
      </c>
      <c r="D25" s="80" t="e">
        <f>SUM(U15:U17)</f>
        <v>#DIV/0!</v>
      </c>
      <c r="F25" s="119" t="s">
        <v>108</v>
      </c>
      <c r="G25" s="119"/>
      <c r="H25" s="119"/>
      <c r="I25" s="119">
        <v>1000</v>
      </c>
      <c r="M25" t="s">
        <v>12</v>
      </c>
      <c r="N25" s="125" t="s">
        <v>118</v>
      </c>
    </row>
    <row r="26" spans="2:23" x14ac:dyDescent="0.25">
      <c r="B26" s="80" t="s">
        <v>128</v>
      </c>
      <c r="C26" t="e">
        <f>J8*G8+J9*G9+J10*G10</f>
        <v>#DIV/0!</v>
      </c>
      <c r="D26" t="e">
        <f>C26</f>
        <v>#DIV/0!</v>
      </c>
    </row>
    <row r="27" spans="2:23" x14ac:dyDescent="0.25">
      <c r="B27" s="80" t="s">
        <v>129</v>
      </c>
      <c r="C27" t="e">
        <f>C26*'User Input'!P20/C24</f>
        <v>#DIV/0!</v>
      </c>
      <c r="D27" t="e">
        <f>D26*'User Input'!P21/D24</f>
        <v>#DIV/0!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Y2110"/>
  <sheetViews>
    <sheetView topLeftCell="H1" workbookViewId="0">
      <selection activeCell="T2" sqref="T2:X2"/>
    </sheetView>
  </sheetViews>
  <sheetFormatPr defaultRowHeight="15" x14ac:dyDescent="0.25"/>
  <cols>
    <col min="4" max="4" width="11.5703125" customWidth="1"/>
    <col min="14" max="14" width="9.85546875" customWidth="1"/>
    <col min="19" max="19" width="15.140625" bestFit="1" customWidth="1"/>
    <col min="20" max="20" width="11.5703125" bestFit="1" customWidth="1"/>
    <col min="260" max="260" width="11.5703125" customWidth="1"/>
    <col min="270" max="270" width="9.85546875" customWidth="1"/>
    <col min="275" max="275" width="15.140625" bestFit="1" customWidth="1"/>
    <col min="276" max="276" width="11.5703125" bestFit="1" customWidth="1"/>
    <col min="516" max="516" width="11.5703125" customWidth="1"/>
    <col min="526" max="526" width="9.85546875" customWidth="1"/>
    <col min="531" max="531" width="15.140625" bestFit="1" customWidth="1"/>
    <col min="532" max="532" width="11.5703125" bestFit="1" customWidth="1"/>
    <col min="772" max="772" width="11.5703125" customWidth="1"/>
    <col min="782" max="782" width="9.85546875" customWidth="1"/>
    <col min="787" max="787" width="15.140625" bestFit="1" customWidth="1"/>
    <col min="788" max="788" width="11.5703125" bestFit="1" customWidth="1"/>
    <col min="1028" max="1028" width="11.5703125" customWidth="1"/>
    <col min="1038" max="1038" width="9.85546875" customWidth="1"/>
    <col min="1043" max="1043" width="15.140625" bestFit="1" customWidth="1"/>
    <col min="1044" max="1044" width="11.5703125" bestFit="1" customWidth="1"/>
    <col min="1284" max="1284" width="11.5703125" customWidth="1"/>
    <col min="1294" max="1294" width="9.85546875" customWidth="1"/>
    <col min="1299" max="1299" width="15.140625" bestFit="1" customWidth="1"/>
    <col min="1300" max="1300" width="11.5703125" bestFit="1" customWidth="1"/>
    <col min="1540" max="1540" width="11.5703125" customWidth="1"/>
    <col min="1550" max="1550" width="9.85546875" customWidth="1"/>
    <col min="1555" max="1555" width="15.140625" bestFit="1" customWidth="1"/>
    <col min="1556" max="1556" width="11.5703125" bestFit="1" customWidth="1"/>
    <col min="1796" max="1796" width="11.5703125" customWidth="1"/>
    <col min="1806" max="1806" width="9.85546875" customWidth="1"/>
    <col min="1811" max="1811" width="15.140625" bestFit="1" customWidth="1"/>
    <col min="1812" max="1812" width="11.5703125" bestFit="1" customWidth="1"/>
    <col min="2052" max="2052" width="11.5703125" customWidth="1"/>
    <col min="2062" max="2062" width="9.85546875" customWidth="1"/>
    <col min="2067" max="2067" width="15.140625" bestFit="1" customWidth="1"/>
    <col min="2068" max="2068" width="11.5703125" bestFit="1" customWidth="1"/>
    <col min="2308" max="2308" width="11.5703125" customWidth="1"/>
    <col min="2318" max="2318" width="9.85546875" customWidth="1"/>
    <col min="2323" max="2323" width="15.140625" bestFit="1" customWidth="1"/>
    <col min="2324" max="2324" width="11.5703125" bestFit="1" customWidth="1"/>
    <col min="2564" max="2564" width="11.5703125" customWidth="1"/>
    <col min="2574" max="2574" width="9.85546875" customWidth="1"/>
    <col min="2579" max="2579" width="15.140625" bestFit="1" customWidth="1"/>
    <col min="2580" max="2580" width="11.5703125" bestFit="1" customWidth="1"/>
    <col min="2820" max="2820" width="11.5703125" customWidth="1"/>
    <col min="2830" max="2830" width="9.85546875" customWidth="1"/>
    <col min="2835" max="2835" width="15.140625" bestFit="1" customWidth="1"/>
    <col min="2836" max="2836" width="11.5703125" bestFit="1" customWidth="1"/>
    <col min="3076" max="3076" width="11.5703125" customWidth="1"/>
    <col min="3086" max="3086" width="9.85546875" customWidth="1"/>
    <col min="3091" max="3091" width="15.140625" bestFit="1" customWidth="1"/>
    <col min="3092" max="3092" width="11.5703125" bestFit="1" customWidth="1"/>
    <col min="3332" max="3332" width="11.5703125" customWidth="1"/>
    <col min="3342" max="3342" width="9.85546875" customWidth="1"/>
    <col min="3347" max="3347" width="15.140625" bestFit="1" customWidth="1"/>
    <col min="3348" max="3348" width="11.5703125" bestFit="1" customWidth="1"/>
    <col min="3588" max="3588" width="11.5703125" customWidth="1"/>
    <col min="3598" max="3598" width="9.85546875" customWidth="1"/>
    <col min="3603" max="3603" width="15.140625" bestFit="1" customWidth="1"/>
    <col min="3604" max="3604" width="11.5703125" bestFit="1" customWidth="1"/>
    <col min="3844" max="3844" width="11.5703125" customWidth="1"/>
    <col min="3854" max="3854" width="9.85546875" customWidth="1"/>
    <col min="3859" max="3859" width="15.140625" bestFit="1" customWidth="1"/>
    <col min="3860" max="3860" width="11.5703125" bestFit="1" customWidth="1"/>
    <col min="4100" max="4100" width="11.5703125" customWidth="1"/>
    <col min="4110" max="4110" width="9.85546875" customWidth="1"/>
    <col min="4115" max="4115" width="15.140625" bestFit="1" customWidth="1"/>
    <col min="4116" max="4116" width="11.5703125" bestFit="1" customWidth="1"/>
    <col min="4356" max="4356" width="11.5703125" customWidth="1"/>
    <col min="4366" max="4366" width="9.85546875" customWidth="1"/>
    <col min="4371" max="4371" width="15.140625" bestFit="1" customWidth="1"/>
    <col min="4372" max="4372" width="11.5703125" bestFit="1" customWidth="1"/>
    <col min="4612" max="4612" width="11.5703125" customWidth="1"/>
    <col min="4622" max="4622" width="9.85546875" customWidth="1"/>
    <col min="4627" max="4627" width="15.140625" bestFit="1" customWidth="1"/>
    <col min="4628" max="4628" width="11.5703125" bestFit="1" customWidth="1"/>
    <col min="4868" max="4868" width="11.5703125" customWidth="1"/>
    <col min="4878" max="4878" width="9.85546875" customWidth="1"/>
    <col min="4883" max="4883" width="15.140625" bestFit="1" customWidth="1"/>
    <col min="4884" max="4884" width="11.5703125" bestFit="1" customWidth="1"/>
    <col min="5124" max="5124" width="11.5703125" customWidth="1"/>
    <col min="5134" max="5134" width="9.85546875" customWidth="1"/>
    <col min="5139" max="5139" width="15.140625" bestFit="1" customWidth="1"/>
    <col min="5140" max="5140" width="11.5703125" bestFit="1" customWidth="1"/>
    <col min="5380" max="5380" width="11.5703125" customWidth="1"/>
    <col min="5390" max="5390" width="9.85546875" customWidth="1"/>
    <col min="5395" max="5395" width="15.140625" bestFit="1" customWidth="1"/>
    <col min="5396" max="5396" width="11.5703125" bestFit="1" customWidth="1"/>
    <col min="5636" max="5636" width="11.5703125" customWidth="1"/>
    <col min="5646" max="5646" width="9.85546875" customWidth="1"/>
    <col min="5651" max="5651" width="15.140625" bestFit="1" customWidth="1"/>
    <col min="5652" max="5652" width="11.5703125" bestFit="1" customWidth="1"/>
    <col min="5892" max="5892" width="11.5703125" customWidth="1"/>
    <col min="5902" max="5902" width="9.85546875" customWidth="1"/>
    <col min="5907" max="5907" width="15.140625" bestFit="1" customWidth="1"/>
    <col min="5908" max="5908" width="11.5703125" bestFit="1" customWidth="1"/>
    <col min="6148" max="6148" width="11.5703125" customWidth="1"/>
    <col min="6158" max="6158" width="9.85546875" customWidth="1"/>
    <col min="6163" max="6163" width="15.140625" bestFit="1" customWidth="1"/>
    <col min="6164" max="6164" width="11.5703125" bestFit="1" customWidth="1"/>
    <col min="6404" max="6404" width="11.5703125" customWidth="1"/>
    <col min="6414" max="6414" width="9.85546875" customWidth="1"/>
    <col min="6419" max="6419" width="15.140625" bestFit="1" customWidth="1"/>
    <col min="6420" max="6420" width="11.5703125" bestFit="1" customWidth="1"/>
    <col min="6660" max="6660" width="11.5703125" customWidth="1"/>
    <col min="6670" max="6670" width="9.85546875" customWidth="1"/>
    <col min="6675" max="6675" width="15.140625" bestFit="1" customWidth="1"/>
    <col min="6676" max="6676" width="11.5703125" bestFit="1" customWidth="1"/>
    <col min="6916" max="6916" width="11.5703125" customWidth="1"/>
    <col min="6926" max="6926" width="9.85546875" customWidth="1"/>
    <col min="6931" max="6931" width="15.140625" bestFit="1" customWidth="1"/>
    <col min="6932" max="6932" width="11.5703125" bestFit="1" customWidth="1"/>
    <col min="7172" max="7172" width="11.5703125" customWidth="1"/>
    <col min="7182" max="7182" width="9.85546875" customWidth="1"/>
    <col min="7187" max="7187" width="15.140625" bestFit="1" customWidth="1"/>
    <col min="7188" max="7188" width="11.5703125" bestFit="1" customWidth="1"/>
    <col min="7428" max="7428" width="11.5703125" customWidth="1"/>
    <col min="7438" max="7438" width="9.85546875" customWidth="1"/>
    <col min="7443" max="7443" width="15.140625" bestFit="1" customWidth="1"/>
    <col min="7444" max="7444" width="11.5703125" bestFit="1" customWidth="1"/>
    <col min="7684" max="7684" width="11.5703125" customWidth="1"/>
    <col min="7694" max="7694" width="9.85546875" customWidth="1"/>
    <col min="7699" max="7699" width="15.140625" bestFit="1" customWidth="1"/>
    <col min="7700" max="7700" width="11.5703125" bestFit="1" customWidth="1"/>
    <col min="7940" max="7940" width="11.5703125" customWidth="1"/>
    <col min="7950" max="7950" width="9.85546875" customWidth="1"/>
    <col min="7955" max="7955" width="15.140625" bestFit="1" customWidth="1"/>
    <col min="7956" max="7956" width="11.5703125" bestFit="1" customWidth="1"/>
    <col min="8196" max="8196" width="11.5703125" customWidth="1"/>
    <col min="8206" max="8206" width="9.85546875" customWidth="1"/>
    <col min="8211" max="8211" width="15.140625" bestFit="1" customWidth="1"/>
    <col min="8212" max="8212" width="11.5703125" bestFit="1" customWidth="1"/>
    <col min="8452" max="8452" width="11.5703125" customWidth="1"/>
    <col min="8462" max="8462" width="9.85546875" customWidth="1"/>
    <col min="8467" max="8467" width="15.140625" bestFit="1" customWidth="1"/>
    <col min="8468" max="8468" width="11.5703125" bestFit="1" customWidth="1"/>
    <col min="8708" max="8708" width="11.5703125" customWidth="1"/>
    <col min="8718" max="8718" width="9.85546875" customWidth="1"/>
    <col min="8723" max="8723" width="15.140625" bestFit="1" customWidth="1"/>
    <col min="8724" max="8724" width="11.5703125" bestFit="1" customWidth="1"/>
    <col min="8964" max="8964" width="11.5703125" customWidth="1"/>
    <col min="8974" max="8974" width="9.85546875" customWidth="1"/>
    <col min="8979" max="8979" width="15.140625" bestFit="1" customWidth="1"/>
    <col min="8980" max="8980" width="11.5703125" bestFit="1" customWidth="1"/>
    <col min="9220" max="9220" width="11.5703125" customWidth="1"/>
    <col min="9230" max="9230" width="9.85546875" customWidth="1"/>
    <col min="9235" max="9235" width="15.140625" bestFit="1" customWidth="1"/>
    <col min="9236" max="9236" width="11.5703125" bestFit="1" customWidth="1"/>
    <col min="9476" max="9476" width="11.5703125" customWidth="1"/>
    <col min="9486" max="9486" width="9.85546875" customWidth="1"/>
    <col min="9491" max="9491" width="15.140625" bestFit="1" customWidth="1"/>
    <col min="9492" max="9492" width="11.5703125" bestFit="1" customWidth="1"/>
    <col min="9732" max="9732" width="11.5703125" customWidth="1"/>
    <col min="9742" max="9742" width="9.85546875" customWidth="1"/>
    <col min="9747" max="9747" width="15.140625" bestFit="1" customWidth="1"/>
    <col min="9748" max="9748" width="11.5703125" bestFit="1" customWidth="1"/>
    <col min="9988" max="9988" width="11.5703125" customWidth="1"/>
    <col min="9998" max="9998" width="9.85546875" customWidth="1"/>
    <col min="10003" max="10003" width="15.140625" bestFit="1" customWidth="1"/>
    <col min="10004" max="10004" width="11.5703125" bestFit="1" customWidth="1"/>
    <col min="10244" max="10244" width="11.5703125" customWidth="1"/>
    <col min="10254" max="10254" width="9.85546875" customWidth="1"/>
    <col min="10259" max="10259" width="15.140625" bestFit="1" customWidth="1"/>
    <col min="10260" max="10260" width="11.5703125" bestFit="1" customWidth="1"/>
    <col min="10500" max="10500" width="11.5703125" customWidth="1"/>
    <col min="10510" max="10510" width="9.85546875" customWidth="1"/>
    <col min="10515" max="10515" width="15.140625" bestFit="1" customWidth="1"/>
    <col min="10516" max="10516" width="11.5703125" bestFit="1" customWidth="1"/>
    <col min="10756" max="10756" width="11.5703125" customWidth="1"/>
    <col min="10766" max="10766" width="9.85546875" customWidth="1"/>
    <col min="10771" max="10771" width="15.140625" bestFit="1" customWidth="1"/>
    <col min="10772" max="10772" width="11.5703125" bestFit="1" customWidth="1"/>
    <col min="11012" max="11012" width="11.5703125" customWidth="1"/>
    <col min="11022" max="11022" width="9.85546875" customWidth="1"/>
    <col min="11027" max="11027" width="15.140625" bestFit="1" customWidth="1"/>
    <col min="11028" max="11028" width="11.5703125" bestFit="1" customWidth="1"/>
    <col min="11268" max="11268" width="11.5703125" customWidth="1"/>
    <col min="11278" max="11278" width="9.85546875" customWidth="1"/>
    <col min="11283" max="11283" width="15.140625" bestFit="1" customWidth="1"/>
    <col min="11284" max="11284" width="11.5703125" bestFit="1" customWidth="1"/>
    <col min="11524" max="11524" width="11.5703125" customWidth="1"/>
    <col min="11534" max="11534" width="9.85546875" customWidth="1"/>
    <col min="11539" max="11539" width="15.140625" bestFit="1" customWidth="1"/>
    <col min="11540" max="11540" width="11.5703125" bestFit="1" customWidth="1"/>
    <col min="11780" max="11780" width="11.5703125" customWidth="1"/>
    <col min="11790" max="11790" width="9.85546875" customWidth="1"/>
    <col min="11795" max="11795" width="15.140625" bestFit="1" customWidth="1"/>
    <col min="11796" max="11796" width="11.5703125" bestFit="1" customWidth="1"/>
    <col min="12036" max="12036" width="11.5703125" customWidth="1"/>
    <col min="12046" max="12046" width="9.85546875" customWidth="1"/>
    <col min="12051" max="12051" width="15.140625" bestFit="1" customWidth="1"/>
    <col min="12052" max="12052" width="11.5703125" bestFit="1" customWidth="1"/>
    <col min="12292" max="12292" width="11.5703125" customWidth="1"/>
    <col min="12302" max="12302" width="9.85546875" customWidth="1"/>
    <col min="12307" max="12307" width="15.140625" bestFit="1" customWidth="1"/>
    <col min="12308" max="12308" width="11.5703125" bestFit="1" customWidth="1"/>
    <col min="12548" max="12548" width="11.5703125" customWidth="1"/>
    <col min="12558" max="12558" width="9.85546875" customWidth="1"/>
    <col min="12563" max="12563" width="15.140625" bestFit="1" customWidth="1"/>
    <col min="12564" max="12564" width="11.5703125" bestFit="1" customWidth="1"/>
    <col min="12804" max="12804" width="11.5703125" customWidth="1"/>
    <col min="12814" max="12814" width="9.85546875" customWidth="1"/>
    <col min="12819" max="12819" width="15.140625" bestFit="1" customWidth="1"/>
    <col min="12820" max="12820" width="11.5703125" bestFit="1" customWidth="1"/>
    <col min="13060" max="13060" width="11.5703125" customWidth="1"/>
    <col min="13070" max="13070" width="9.85546875" customWidth="1"/>
    <col min="13075" max="13075" width="15.140625" bestFit="1" customWidth="1"/>
    <col min="13076" max="13076" width="11.5703125" bestFit="1" customWidth="1"/>
    <col min="13316" max="13316" width="11.5703125" customWidth="1"/>
    <col min="13326" max="13326" width="9.85546875" customWidth="1"/>
    <col min="13331" max="13331" width="15.140625" bestFit="1" customWidth="1"/>
    <col min="13332" max="13332" width="11.5703125" bestFit="1" customWidth="1"/>
    <col min="13572" max="13572" width="11.5703125" customWidth="1"/>
    <col min="13582" max="13582" width="9.85546875" customWidth="1"/>
    <col min="13587" max="13587" width="15.140625" bestFit="1" customWidth="1"/>
    <col min="13588" max="13588" width="11.5703125" bestFit="1" customWidth="1"/>
    <col min="13828" max="13828" width="11.5703125" customWidth="1"/>
    <col min="13838" max="13838" width="9.85546875" customWidth="1"/>
    <col min="13843" max="13843" width="15.140625" bestFit="1" customWidth="1"/>
    <col min="13844" max="13844" width="11.5703125" bestFit="1" customWidth="1"/>
    <col min="14084" max="14084" width="11.5703125" customWidth="1"/>
    <col min="14094" max="14094" width="9.85546875" customWidth="1"/>
    <col min="14099" max="14099" width="15.140625" bestFit="1" customWidth="1"/>
    <col min="14100" max="14100" width="11.5703125" bestFit="1" customWidth="1"/>
    <col min="14340" max="14340" width="11.5703125" customWidth="1"/>
    <col min="14350" max="14350" width="9.85546875" customWidth="1"/>
    <col min="14355" max="14355" width="15.140625" bestFit="1" customWidth="1"/>
    <col min="14356" max="14356" width="11.5703125" bestFit="1" customWidth="1"/>
    <col min="14596" max="14596" width="11.5703125" customWidth="1"/>
    <col min="14606" max="14606" width="9.85546875" customWidth="1"/>
    <col min="14611" max="14611" width="15.140625" bestFit="1" customWidth="1"/>
    <col min="14612" max="14612" width="11.5703125" bestFit="1" customWidth="1"/>
    <col min="14852" max="14852" width="11.5703125" customWidth="1"/>
    <col min="14862" max="14862" width="9.85546875" customWidth="1"/>
    <col min="14867" max="14867" width="15.140625" bestFit="1" customWidth="1"/>
    <col min="14868" max="14868" width="11.5703125" bestFit="1" customWidth="1"/>
    <col min="15108" max="15108" width="11.5703125" customWidth="1"/>
    <col min="15118" max="15118" width="9.85546875" customWidth="1"/>
    <col min="15123" max="15123" width="15.140625" bestFit="1" customWidth="1"/>
    <col min="15124" max="15124" width="11.5703125" bestFit="1" customWidth="1"/>
    <col min="15364" max="15364" width="11.5703125" customWidth="1"/>
    <col min="15374" max="15374" width="9.85546875" customWidth="1"/>
    <col min="15379" max="15379" width="15.140625" bestFit="1" customWidth="1"/>
    <col min="15380" max="15380" width="11.5703125" bestFit="1" customWidth="1"/>
    <col min="15620" max="15620" width="11.5703125" customWidth="1"/>
    <col min="15630" max="15630" width="9.85546875" customWidth="1"/>
    <col min="15635" max="15635" width="15.140625" bestFit="1" customWidth="1"/>
    <col min="15636" max="15636" width="11.5703125" bestFit="1" customWidth="1"/>
    <col min="15876" max="15876" width="11.5703125" customWidth="1"/>
    <col min="15886" max="15886" width="9.85546875" customWidth="1"/>
    <col min="15891" max="15891" width="15.140625" bestFit="1" customWidth="1"/>
    <col min="15892" max="15892" width="11.5703125" bestFit="1" customWidth="1"/>
    <col min="16132" max="16132" width="11.5703125" customWidth="1"/>
    <col min="16142" max="16142" width="9.85546875" customWidth="1"/>
    <col min="16147" max="16147" width="15.140625" bestFit="1" customWidth="1"/>
    <col min="16148" max="16148" width="11.5703125" bestFit="1" customWidth="1"/>
  </cols>
  <sheetData>
    <row r="1" spans="1:25" ht="15.75" thickBot="1" x14ac:dyDescent="0.3">
      <c r="A1" s="1" t="s">
        <v>17</v>
      </c>
      <c r="H1" s="2" t="s">
        <v>18</v>
      </c>
      <c r="L1" s="3"/>
      <c r="M1" s="3"/>
      <c r="N1" s="3"/>
      <c r="O1" s="3"/>
      <c r="P1" s="3"/>
      <c r="Q1" s="3"/>
      <c r="R1" s="3"/>
      <c r="S1" s="4" t="s">
        <v>19</v>
      </c>
      <c r="T1" s="5">
        <f>IF('User Input'!E11&lt;0.5,0.5,'User Input'!E11)</f>
        <v>0.5</v>
      </c>
      <c r="U1" s="6" t="s">
        <v>20</v>
      </c>
    </row>
    <row r="2" spans="1:25" ht="15.75" thickBot="1" x14ac:dyDescent="0.3">
      <c r="H2" s="2" t="s">
        <v>21</v>
      </c>
      <c r="L2" s="3"/>
      <c r="M2" s="3"/>
      <c r="N2" s="3"/>
      <c r="O2" s="3"/>
      <c r="P2" s="3"/>
      <c r="Q2" s="3"/>
      <c r="R2" s="3"/>
      <c r="S2" s="7" t="s">
        <v>22</v>
      </c>
      <c r="T2" s="195" t="s">
        <v>23</v>
      </c>
      <c r="U2" s="195"/>
      <c r="V2" s="195"/>
      <c r="W2" s="195"/>
      <c r="X2" s="196"/>
    </row>
    <row r="3" spans="1:25" x14ac:dyDescent="0.25">
      <c r="A3" s="2" t="s">
        <v>18</v>
      </c>
      <c r="H3" s="8" t="s">
        <v>24</v>
      </c>
      <c r="I3" s="9" t="s">
        <v>25</v>
      </c>
      <c r="J3" s="10" t="s">
        <v>24</v>
      </c>
      <c r="K3" s="9" t="s">
        <v>25</v>
      </c>
      <c r="L3" s="10" t="s">
        <v>24</v>
      </c>
      <c r="M3" s="9" t="s">
        <v>25</v>
      </c>
      <c r="N3" s="10" t="s">
        <v>24</v>
      </c>
      <c r="O3" s="9" t="s">
        <v>25</v>
      </c>
      <c r="P3" s="10" t="s">
        <v>24</v>
      </c>
      <c r="Q3" s="11" t="s">
        <v>25</v>
      </c>
      <c r="R3" s="3"/>
      <c r="S3" s="12" t="s">
        <v>26</v>
      </c>
      <c r="T3" s="13">
        <v>7</v>
      </c>
      <c r="U3" s="14">
        <v>7.5</v>
      </c>
      <c r="V3" s="14">
        <v>8</v>
      </c>
      <c r="W3" s="14">
        <v>8.5</v>
      </c>
      <c r="X3" s="15">
        <v>9</v>
      </c>
    </row>
    <row r="4" spans="1:25" ht="28.5" customHeight="1" x14ac:dyDescent="0.25">
      <c r="A4" s="16" t="s">
        <v>27</v>
      </c>
      <c r="B4" s="16" t="s">
        <v>23</v>
      </c>
      <c r="C4" s="16" t="s">
        <v>28</v>
      </c>
      <c r="D4" s="16" t="s">
        <v>29</v>
      </c>
      <c r="E4" s="16" t="s">
        <v>30</v>
      </c>
      <c r="F4" s="16" t="s">
        <v>25</v>
      </c>
      <c r="G4" s="17" t="s">
        <v>31</v>
      </c>
      <c r="H4" s="18"/>
      <c r="I4" s="19">
        <v>0.5</v>
      </c>
      <c r="J4" s="20"/>
      <c r="K4" s="19">
        <v>5</v>
      </c>
      <c r="L4" s="20"/>
      <c r="M4" s="21">
        <v>10</v>
      </c>
      <c r="N4" s="20"/>
      <c r="O4" s="21">
        <v>15</v>
      </c>
      <c r="P4" s="20"/>
      <c r="Q4" s="22">
        <v>20</v>
      </c>
      <c r="R4" s="3"/>
      <c r="S4" s="23">
        <v>0</v>
      </c>
      <c r="T4" s="24">
        <v>0</v>
      </c>
      <c r="U4" s="24">
        <v>0</v>
      </c>
      <c r="V4" s="24">
        <v>0</v>
      </c>
      <c r="W4" s="24">
        <v>0</v>
      </c>
      <c r="X4" s="25">
        <v>0</v>
      </c>
    </row>
    <row r="5" spans="1:25" x14ac:dyDescent="0.25">
      <c r="A5" s="26">
        <v>0.5</v>
      </c>
      <c r="B5" s="26">
        <v>7</v>
      </c>
      <c r="C5" s="27">
        <v>0.4</v>
      </c>
      <c r="D5" s="28">
        <v>0.5</v>
      </c>
      <c r="E5" s="27">
        <v>33</v>
      </c>
      <c r="F5" s="29">
        <f t="shared" ref="F5:F68" si="0">D5/E5</f>
        <v>1.5151515151515152E-2</v>
      </c>
      <c r="G5" s="30" t="s">
        <v>32</v>
      </c>
      <c r="H5" s="31"/>
      <c r="I5" s="32">
        <v>7</v>
      </c>
      <c r="J5" s="33"/>
      <c r="K5" s="32">
        <v>7</v>
      </c>
      <c r="L5" s="33"/>
      <c r="M5" s="32">
        <v>7</v>
      </c>
      <c r="N5" s="33"/>
      <c r="O5" s="32">
        <v>7</v>
      </c>
      <c r="P5" s="33"/>
      <c r="Q5" s="34">
        <v>7</v>
      </c>
      <c r="R5" s="3"/>
      <c r="S5" s="35">
        <v>0.4</v>
      </c>
      <c r="T5" s="36">
        <f>HLOOKUP($T$1,$I$4:$Q$19,$Y5)</f>
        <v>1.5324817844537389E-2</v>
      </c>
      <c r="U5" s="37">
        <f>HLOOKUP($T$1,$I$20:$Q$35,$Y5)</f>
        <v>1.2617664697895525E-2</v>
      </c>
      <c r="V5" s="37">
        <f t="shared" ref="V5:V18" si="1">HLOOKUP($T$1,$I$36:$Q$51,$Y5)</f>
        <v>1.0832357314054393E-2</v>
      </c>
      <c r="W5" s="37">
        <f t="shared" ref="W5:W18" si="2">HLOOKUP($T$1,$I$52:$Q$67,$Y5)</f>
        <v>9.1079626647878331E-3</v>
      </c>
      <c r="X5" s="38">
        <f t="shared" ref="X5:X18" si="3">HLOOKUP($T$1,$I$68:$Q$83,$Y5)</f>
        <v>7.6923076923076927E-3</v>
      </c>
      <c r="Y5">
        <v>3</v>
      </c>
    </row>
    <row r="6" spans="1:25" x14ac:dyDescent="0.25">
      <c r="A6" s="26">
        <v>0.5</v>
      </c>
      <c r="B6" s="26">
        <v>7</v>
      </c>
      <c r="C6" s="39">
        <v>0.4</v>
      </c>
      <c r="D6" s="28">
        <v>1</v>
      </c>
      <c r="E6" s="39">
        <v>65</v>
      </c>
      <c r="F6" s="29">
        <f t="shared" si="0"/>
        <v>1.5384615384615385E-2</v>
      </c>
      <c r="G6" s="3"/>
      <c r="H6" s="40">
        <v>0.4</v>
      </c>
      <c r="I6" s="41">
        <f>AVERAGE(F5:F10)</f>
        <v>1.5324817844537389E-2</v>
      </c>
      <c r="J6" s="42">
        <v>0.4</v>
      </c>
      <c r="K6" s="43">
        <f>AVERAGE(F341:F346)</f>
        <v>2.1591111098850559E-2</v>
      </c>
      <c r="L6" s="42">
        <v>0.4</v>
      </c>
      <c r="M6" s="43">
        <f>AVERAGE(F677:F682)</f>
        <v>2.8899440066650583E-2</v>
      </c>
      <c r="N6" s="42">
        <v>0.4</v>
      </c>
      <c r="O6" s="43">
        <f>AVERAGE(F1013:F1018)</f>
        <v>4.2752642169290228E-2</v>
      </c>
      <c r="P6" s="42">
        <v>0.4</v>
      </c>
      <c r="Q6" s="44">
        <f>AVERAGE(F1349:F1354)</f>
        <v>5.7507682063085624E-2</v>
      </c>
      <c r="R6" s="3"/>
      <c r="S6" s="23">
        <v>0.6</v>
      </c>
      <c r="T6" s="45">
        <f>HLOOKUP($T$1,$I$4:$Q$19,$Y6)</f>
        <v>1.5014090358507572E-2</v>
      </c>
      <c r="U6" s="46">
        <f t="shared" ref="U6:U18" si="4">HLOOKUP($T$1,$I$20:$Q$35,$Y6)</f>
        <v>1.2532288612963858E-2</v>
      </c>
      <c r="V6" s="46">
        <f t="shared" si="1"/>
        <v>1.0482901550719214E-2</v>
      </c>
      <c r="W6" s="46">
        <f t="shared" si="2"/>
        <v>8.771929824561403E-3</v>
      </c>
      <c r="X6" s="47">
        <f t="shared" si="3"/>
        <v>7.3640893282656194E-3</v>
      </c>
      <c r="Y6">
        <v>4</v>
      </c>
    </row>
    <row r="7" spans="1:25" x14ac:dyDescent="0.25">
      <c r="A7" s="26">
        <v>0.5</v>
      </c>
      <c r="B7" s="26">
        <v>7</v>
      </c>
      <c r="C7" s="39">
        <v>0.4</v>
      </c>
      <c r="D7" s="26">
        <v>1.5</v>
      </c>
      <c r="E7" s="39">
        <v>98</v>
      </c>
      <c r="F7" s="29">
        <f t="shared" si="0"/>
        <v>1.5306122448979591E-2</v>
      </c>
      <c r="G7" s="3"/>
      <c r="H7" s="48">
        <v>0.6</v>
      </c>
      <c r="I7" s="49">
        <f>AVERAGE(F11:F16)</f>
        <v>1.5014090358507572E-2</v>
      </c>
      <c r="J7" s="50">
        <v>0.6</v>
      </c>
      <c r="K7" s="51">
        <f>AVERAGE(F347:F352)</f>
        <v>2.0923342653218813E-2</v>
      </c>
      <c r="L7" s="50">
        <v>0.6</v>
      </c>
      <c r="M7" s="51">
        <f>AVERAGE(F683:F687)</f>
        <v>2.7918447011657965E-2</v>
      </c>
      <c r="N7" s="50">
        <v>0.6</v>
      </c>
      <c r="O7" s="51">
        <f>AVERAGE(F1019:F1024)</f>
        <v>4.1666666666666664E-2</v>
      </c>
      <c r="P7" s="50">
        <v>0.6</v>
      </c>
      <c r="Q7" s="52">
        <f>AVERAGE(F1355:F1360)</f>
        <v>5.5555555555555559E-2</v>
      </c>
      <c r="R7" s="3"/>
      <c r="S7" s="35">
        <v>0.8</v>
      </c>
      <c r="T7" s="36">
        <f>HLOOKUP($T$1,$I$4:$Q$19,$Y7)</f>
        <v>1.4637906838397224E-2</v>
      </c>
      <c r="U7" s="37">
        <f t="shared" si="4"/>
        <v>1.2195121951219511E-2</v>
      </c>
      <c r="V7" s="37">
        <f t="shared" si="1"/>
        <v>1.0171279302640106E-2</v>
      </c>
      <c r="W7" s="37">
        <f t="shared" si="2"/>
        <v>8.4745762711864406E-3</v>
      </c>
      <c r="X7" s="38">
        <f t="shared" si="3"/>
        <v>7.1121292754638445E-3</v>
      </c>
      <c r="Y7">
        <v>5</v>
      </c>
    </row>
    <row r="8" spans="1:25" x14ac:dyDescent="0.25">
      <c r="A8" s="26">
        <v>0.5</v>
      </c>
      <c r="B8" s="26">
        <v>7</v>
      </c>
      <c r="C8" s="39">
        <v>0.4</v>
      </c>
      <c r="D8" s="26">
        <v>2</v>
      </c>
      <c r="E8" s="39">
        <v>130</v>
      </c>
      <c r="F8" s="29">
        <f t="shared" si="0"/>
        <v>1.5384615384615385E-2</v>
      </c>
      <c r="G8" s="3"/>
      <c r="H8" s="48">
        <v>0.8</v>
      </c>
      <c r="I8" s="49">
        <f>AVERAGE(F17:F22)</f>
        <v>1.4637906838397224E-2</v>
      </c>
      <c r="J8" s="50">
        <v>0.8</v>
      </c>
      <c r="K8" s="51">
        <f>AVERAGE(F353:F358)</f>
        <v>2.0574624498219635E-2</v>
      </c>
      <c r="L8" s="50">
        <v>0.8</v>
      </c>
      <c r="M8" s="51">
        <f>AVERAGE(F689:F694)</f>
        <v>2.7320238777951703E-2</v>
      </c>
      <c r="N8" s="50">
        <v>0.8</v>
      </c>
      <c r="O8" s="51">
        <f>AVERAGE(F1025:F1030)</f>
        <v>4.1128282895470346E-2</v>
      </c>
      <c r="P8" s="50">
        <v>0.8</v>
      </c>
      <c r="Q8" s="52">
        <f>AVERAGE(F1361:F1366)</f>
        <v>5.4604979061500802E-2</v>
      </c>
      <c r="R8" s="3"/>
      <c r="S8" s="23">
        <v>1</v>
      </c>
      <c r="T8" s="45">
        <f t="shared" ref="T8:T18" si="5">HLOOKUP($T$1,$I$4:$Q$19,$Y8)</f>
        <v>1.4285714285714285E-2</v>
      </c>
      <c r="U8" s="46">
        <f t="shared" si="4"/>
        <v>1.1860152616717863E-2</v>
      </c>
      <c r="V8" s="46">
        <f t="shared" si="1"/>
        <v>9.862565574428361E-3</v>
      </c>
      <c r="W8" s="46">
        <f t="shared" si="2"/>
        <v>8.2105798170069074E-3</v>
      </c>
      <c r="X8" s="47">
        <f t="shared" si="3"/>
        <v>6.8589863109401157E-3</v>
      </c>
      <c r="Y8">
        <v>6</v>
      </c>
    </row>
    <row r="9" spans="1:25" x14ac:dyDescent="0.25">
      <c r="A9" s="26">
        <v>0.5</v>
      </c>
      <c r="B9" s="26">
        <v>7</v>
      </c>
      <c r="C9" s="39">
        <v>0.4</v>
      </c>
      <c r="D9" s="26">
        <v>2.5</v>
      </c>
      <c r="E9" s="39">
        <v>163</v>
      </c>
      <c r="F9" s="29">
        <f t="shared" si="0"/>
        <v>1.5337423312883436E-2</v>
      </c>
      <c r="G9" s="3"/>
      <c r="H9" s="48">
        <v>1</v>
      </c>
      <c r="I9" s="49">
        <f>AVERAGE(F23:F28)</f>
        <v>1.4285714285714285E-2</v>
      </c>
      <c r="J9" s="50">
        <v>1</v>
      </c>
      <c r="K9" s="51">
        <f>AVERAGE(F359:F364)</f>
        <v>2.0082923118753385E-2</v>
      </c>
      <c r="L9" s="50">
        <v>1</v>
      </c>
      <c r="M9" s="51">
        <f>AVERAGE(F695:F700)</f>
        <v>2.674377202815233E-2</v>
      </c>
      <c r="N9" s="50">
        <v>1</v>
      </c>
      <c r="O9" s="51">
        <f>AVERAGE(F1031:F1036)</f>
        <v>3.9602960392434078E-2</v>
      </c>
      <c r="P9" s="50">
        <v>1</v>
      </c>
      <c r="Q9" s="52">
        <f>AVERAGE(F1367:F1372)</f>
        <v>5.3762589176922886E-2</v>
      </c>
      <c r="R9" s="30"/>
      <c r="S9" s="35">
        <v>1.2</v>
      </c>
      <c r="T9" s="36">
        <f t="shared" si="5"/>
        <v>1.3928774911950175E-2</v>
      </c>
      <c r="U9" s="37">
        <f t="shared" si="4"/>
        <v>1.1585342465109012E-2</v>
      </c>
      <c r="V9" s="37">
        <f t="shared" si="1"/>
        <v>9.5862493244387136E-3</v>
      </c>
      <c r="W9" s="37">
        <f t="shared" si="2"/>
        <v>7.9748837803904592E-3</v>
      </c>
      <c r="X9" s="38">
        <f t="shared" si="3"/>
        <v>6.6526401030382433E-3</v>
      </c>
      <c r="Y9">
        <v>7</v>
      </c>
    </row>
    <row r="10" spans="1:25" x14ac:dyDescent="0.25">
      <c r="A10" s="26">
        <v>0.5</v>
      </c>
      <c r="B10" s="26">
        <v>7</v>
      </c>
      <c r="C10" s="39">
        <v>0.4</v>
      </c>
      <c r="D10" s="26">
        <v>3</v>
      </c>
      <c r="E10" s="39">
        <v>195</v>
      </c>
      <c r="F10" s="29">
        <f t="shared" si="0"/>
        <v>1.5384615384615385E-2</v>
      </c>
      <c r="G10" s="3"/>
      <c r="H10" s="48">
        <v>1.2</v>
      </c>
      <c r="I10" s="51">
        <f>AVERAGE(F29:F34)</f>
        <v>1.3928774911950175E-2</v>
      </c>
      <c r="J10" s="50">
        <v>1.2</v>
      </c>
      <c r="K10" s="51">
        <f>AVERAGE(F365:F370)</f>
        <v>1.9761424485979961E-2</v>
      </c>
      <c r="L10" s="50">
        <v>1.2</v>
      </c>
      <c r="M10" s="51">
        <f>AVERAGE(F701:F706)</f>
        <v>2.6315789473684209E-2</v>
      </c>
      <c r="N10" s="50">
        <v>1.2</v>
      </c>
      <c r="O10" s="51">
        <f>AVERAGE(F1037:F1042)</f>
        <v>3.9384522139940092E-2</v>
      </c>
      <c r="P10" s="50">
        <v>1.2</v>
      </c>
      <c r="Q10" s="52">
        <f>AVERAGE(F1373:F1378)</f>
        <v>5.1950368017745517E-2</v>
      </c>
      <c r="R10" s="3"/>
      <c r="S10" s="23">
        <v>1.4</v>
      </c>
      <c r="T10" s="45">
        <f t="shared" si="5"/>
        <v>1.3776385395579798E-2</v>
      </c>
      <c r="U10" s="46">
        <f t="shared" si="4"/>
        <v>1.12861131144616E-2</v>
      </c>
      <c r="V10" s="46">
        <f t="shared" si="1"/>
        <v>9.3236284720199965E-3</v>
      </c>
      <c r="W10" s="46">
        <f t="shared" si="2"/>
        <v>7.7366697481963363E-3</v>
      </c>
      <c r="X10" s="47">
        <f t="shared" si="3"/>
        <v>6.4680990182149111E-3</v>
      </c>
      <c r="Y10">
        <v>8</v>
      </c>
    </row>
    <row r="11" spans="1:25" x14ac:dyDescent="0.25">
      <c r="A11" s="26">
        <v>0.5</v>
      </c>
      <c r="B11" s="26">
        <v>7</v>
      </c>
      <c r="C11" s="39">
        <v>0.6</v>
      </c>
      <c r="D11" s="28">
        <v>0.5</v>
      </c>
      <c r="E11" s="39">
        <v>33</v>
      </c>
      <c r="F11" s="29">
        <f t="shared" si="0"/>
        <v>1.5151515151515152E-2</v>
      </c>
      <c r="G11" s="3"/>
      <c r="H11" s="48">
        <v>1.4</v>
      </c>
      <c r="I11" s="51">
        <f>AVERAGE(F35:F40)</f>
        <v>1.3776385395579798E-2</v>
      </c>
      <c r="J11" s="50">
        <v>1.4</v>
      </c>
      <c r="K11" s="51">
        <f>AVERAGE(F371:F376)</f>
        <v>1.9307411181896796E-2</v>
      </c>
      <c r="L11" s="50">
        <v>1.4</v>
      </c>
      <c r="M11" s="51">
        <f>AVERAGE(F707:F712)</f>
        <v>2.5904695816009824E-2</v>
      </c>
      <c r="N11" s="50">
        <v>1.4</v>
      </c>
      <c r="O11" s="51">
        <f>AVERAGE(F1043:F1048)</f>
        <v>3.8461538461538464E-2</v>
      </c>
      <c r="P11" s="50">
        <v>1.4</v>
      </c>
      <c r="Q11" s="52">
        <f>AVERAGE(F1379:F1384)</f>
        <v>5.1574206570803666E-2</v>
      </c>
      <c r="R11" s="3"/>
      <c r="S11" s="35">
        <v>1.6</v>
      </c>
      <c r="T11" s="36">
        <f t="shared" si="5"/>
        <v>1.3263801014925905E-2</v>
      </c>
      <c r="U11" s="37">
        <f t="shared" si="4"/>
        <v>1.0958402595769181E-2</v>
      </c>
      <c r="V11" s="37">
        <f t="shared" si="1"/>
        <v>9.1079626647878331E-3</v>
      </c>
      <c r="W11" s="37">
        <f t="shared" si="2"/>
        <v>7.5576530931089486E-3</v>
      </c>
      <c r="X11" s="38">
        <f t="shared" si="3"/>
        <v>6.2792470318488039E-3</v>
      </c>
      <c r="Y11">
        <v>9</v>
      </c>
    </row>
    <row r="12" spans="1:25" x14ac:dyDescent="0.25">
      <c r="A12" s="26">
        <v>0.5</v>
      </c>
      <c r="B12" s="26">
        <v>7</v>
      </c>
      <c r="C12" s="39">
        <v>0.6</v>
      </c>
      <c r="D12" s="28">
        <v>1</v>
      </c>
      <c r="E12" s="39">
        <v>67</v>
      </c>
      <c r="F12" s="29">
        <f t="shared" si="0"/>
        <v>1.4925373134328358E-2</v>
      </c>
      <c r="G12" s="3"/>
      <c r="H12" s="48">
        <v>1.6</v>
      </c>
      <c r="I12" s="51">
        <f>AVERAGE(F41:F46)</f>
        <v>1.3263801014925905E-2</v>
      </c>
      <c r="J12" s="50">
        <v>1.6</v>
      </c>
      <c r="K12" s="51">
        <f>AVERAGE(F377:F382)</f>
        <v>1.9010065048397983E-2</v>
      </c>
      <c r="L12" s="50">
        <v>1.6</v>
      </c>
      <c r="M12" s="51">
        <f>AVERAGE(F713:F718)</f>
        <v>2.5129844163723537E-2</v>
      </c>
      <c r="N12" s="50">
        <v>1.6</v>
      </c>
      <c r="O12" s="51">
        <f>AVERAGE(F1049:F1054)</f>
        <v>3.8002066233795394E-2</v>
      </c>
      <c r="P12" s="50">
        <v>1.6</v>
      </c>
      <c r="Q12" s="52">
        <f>AVERAGE(F1385:F1390)</f>
        <v>5.0524986178739205E-2</v>
      </c>
      <c r="R12" s="3"/>
      <c r="S12" s="23">
        <v>1.8</v>
      </c>
      <c r="T12" s="45">
        <f t="shared" si="5"/>
        <v>1.2944325689993014E-2</v>
      </c>
      <c r="U12" s="46">
        <f t="shared" si="4"/>
        <v>1.0723376972776791E-2</v>
      </c>
      <c r="V12" s="46">
        <f t="shared" si="1"/>
        <v>8.8806242260792336E-3</v>
      </c>
      <c r="W12" s="46">
        <f t="shared" si="2"/>
        <v>7.3640893282656194E-3</v>
      </c>
      <c r="X12" s="47">
        <f t="shared" si="3"/>
        <v>6.1253948185089786E-3</v>
      </c>
      <c r="Y12">
        <v>10</v>
      </c>
    </row>
    <row r="13" spans="1:25" x14ac:dyDescent="0.25">
      <c r="A13" s="26">
        <v>0.5</v>
      </c>
      <c r="B13" s="26">
        <v>7</v>
      </c>
      <c r="C13" s="39">
        <v>0.6</v>
      </c>
      <c r="D13" s="26">
        <v>1.5</v>
      </c>
      <c r="E13" s="39">
        <v>100</v>
      </c>
      <c r="F13" s="29">
        <f t="shared" si="0"/>
        <v>1.4999999999999999E-2</v>
      </c>
      <c r="G13" s="3"/>
      <c r="H13" s="48">
        <v>1.8</v>
      </c>
      <c r="I13" s="51">
        <f>AVERAGE(F47:F52)</f>
        <v>1.2944325689993014E-2</v>
      </c>
      <c r="J13" s="50">
        <v>1.8</v>
      </c>
      <c r="K13" s="51">
        <f>AVERAGE(F383:F388)</f>
        <v>1.8518518518518517E-2</v>
      </c>
      <c r="L13" s="50">
        <v>1.8</v>
      </c>
      <c r="M13" s="51">
        <f>AVERAGE(F719:F724)</f>
        <v>2.4628622286258579E-2</v>
      </c>
      <c r="N13" s="50">
        <v>1.8</v>
      </c>
      <c r="O13" s="51">
        <f>AVERAGE(F1055:F1060)</f>
        <v>3.669591142690138E-2</v>
      </c>
      <c r="P13" s="50">
        <v>1.8</v>
      </c>
      <c r="Q13" s="52">
        <f>AVERAGE(F1391:F1396)</f>
        <v>4.9227920048510211E-2</v>
      </c>
      <c r="R13" s="3"/>
      <c r="S13" s="35">
        <v>2</v>
      </c>
      <c r="T13" s="36">
        <f t="shared" si="5"/>
        <v>1.2721946385884558E-2</v>
      </c>
      <c r="U13" s="37">
        <f t="shared" si="4"/>
        <v>1.0482901550719214E-2</v>
      </c>
      <c r="V13" s="37">
        <f t="shared" si="1"/>
        <v>8.6659910841795692E-3</v>
      </c>
      <c r="W13" s="37">
        <f t="shared" si="2"/>
        <v>7.1810887491011261E-3</v>
      </c>
      <c r="X13" s="38">
        <f t="shared" si="3"/>
        <v>6.0022216967624067E-3</v>
      </c>
      <c r="Y13">
        <v>11</v>
      </c>
    </row>
    <row r="14" spans="1:25" x14ac:dyDescent="0.25">
      <c r="A14" s="26">
        <v>0.5</v>
      </c>
      <c r="B14" s="26">
        <v>7</v>
      </c>
      <c r="C14" s="39">
        <v>0.6</v>
      </c>
      <c r="D14" s="26">
        <v>2</v>
      </c>
      <c r="E14" s="39">
        <v>133</v>
      </c>
      <c r="F14" s="29">
        <f t="shared" si="0"/>
        <v>1.5037593984962405E-2</v>
      </c>
      <c r="G14" s="3"/>
      <c r="H14" s="48">
        <v>2</v>
      </c>
      <c r="I14" s="51">
        <f>AVERAGE(F53:F58)</f>
        <v>1.2721946385884558E-2</v>
      </c>
      <c r="J14" s="50">
        <v>2</v>
      </c>
      <c r="K14" s="51">
        <f>AVERAGE(F389:F394)</f>
        <v>1.8098471431368238E-2</v>
      </c>
      <c r="L14" s="50">
        <v>2</v>
      </c>
      <c r="M14" s="51">
        <f>AVERAGE(F725:F730)</f>
        <v>2.4159182448086538E-2</v>
      </c>
      <c r="N14" s="50">
        <v>2</v>
      </c>
      <c r="O14" s="51">
        <f>AVERAGE(F1061:F1066)</f>
        <v>3.5980492646286256E-2</v>
      </c>
      <c r="P14" s="50">
        <v>2</v>
      </c>
      <c r="Q14" s="52">
        <f>AVERAGE(F1397:F1402)</f>
        <v>4.8541775341539306E-2</v>
      </c>
      <c r="R14" s="3"/>
      <c r="S14" s="23">
        <v>2.2000000000000002</v>
      </c>
      <c r="T14" s="45">
        <f t="shared" si="5"/>
        <v>1.2406277552384553E-2</v>
      </c>
      <c r="U14" s="46">
        <f t="shared" si="4"/>
        <v>1.0075131593046726E-2</v>
      </c>
      <c r="V14" s="46">
        <f t="shared" si="1"/>
        <v>8.4893920068968304E-3</v>
      </c>
      <c r="W14" s="46">
        <f t="shared" si="2"/>
        <v>7.0422535211267607E-3</v>
      </c>
      <c r="X14" s="47">
        <f t="shared" si="3"/>
        <v>5.8714282683113234E-3</v>
      </c>
      <c r="Y14">
        <v>12</v>
      </c>
    </row>
    <row r="15" spans="1:25" x14ac:dyDescent="0.25">
      <c r="A15" s="26">
        <v>0.5</v>
      </c>
      <c r="B15" s="26">
        <v>7</v>
      </c>
      <c r="C15" s="39">
        <v>0.6</v>
      </c>
      <c r="D15" s="26">
        <v>2.5</v>
      </c>
      <c r="E15" s="39">
        <v>167</v>
      </c>
      <c r="F15" s="29">
        <f t="shared" si="0"/>
        <v>1.4970059880239521E-2</v>
      </c>
      <c r="G15" s="3"/>
      <c r="H15" s="48">
        <v>2.2000000000000002</v>
      </c>
      <c r="I15" s="51">
        <f>AVERAGE(F59:F64)</f>
        <v>1.2406277552384553E-2</v>
      </c>
      <c r="J15" s="50">
        <v>2.2000000000000002</v>
      </c>
      <c r="K15" s="51">
        <f>AVERAGE(F395:F400)</f>
        <v>1.775707255431741E-2</v>
      </c>
      <c r="L15" s="50">
        <v>2.2000000000000002</v>
      </c>
      <c r="M15" s="51">
        <f>AVERAGE(F731:F736)</f>
        <v>2.3632152048037553E-2</v>
      </c>
      <c r="N15" s="50">
        <v>2.2000000000000002</v>
      </c>
      <c r="O15" s="51">
        <f>AVERAGE(F1067:F1072)</f>
        <v>3.5317566151623708E-2</v>
      </c>
      <c r="P15" s="50">
        <v>2.2000000000000002</v>
      </c>
      <c r="Q15" s="52">
        <f>AVERAGE(F1403:F1408)</f>
        <v>4.7059416605407169E-2</v>
      </c>
      <c r="R15" s="3"/>
      <c r="S15" s="35">
        <v>2.4</v>
      </c>
      <c r="T15" s="36">
        <f t="shared" si="5"/>
        <v>1.2148316922525146E-2</v>
      </c>
      <c r="U15" s="37">
        <f t="shared" si="4"/>
        <v>1.0061022451083548E-2</v>
      </c>
      <c r="V15" s="37">
        <f t="shared" si="1"/>
        <v>8.3114353031798344E-3</v>
      </c>
      <c r="W15" s="37">
        <f t="shared" si="2"/>
        <v>6.8844594212431444E-3</v>
      </c>
      <c r="X15" s="38">
        <f t="shared" si="3"/>
        <v>5.7471264367816091E-3</v>
      </c>
      <c r="Y15">
        <v>13</v>
      </c>
    </row>
    <row r="16" spans="1:25" x14ac:dyDescent="0.25">
      <c r="A16" s="26">
        <v>0.5</v>
      </c>
      <c r="B16" s="26">
        <v>7</v>
      </c>
      <c r="C16" s="39">
        <v>0.6</v>
      </c>
      <c r="D16" s="26">
        <v>3</v>
      </c>
      <c r="E16" s="39">
        <v>200</v>
      </c>
      <c r="F16" s="29">
        <f t="shared" si="0"/>
        <v>1.4999999999999999E-2</v>
      </c>
      <c r="G16" s="3"/>
      <c r="H16" s="48">
        <v>2.4</v>
      </c>
      <c r="I16" s="51">
        <f>AVERAGE(F65:F70)</f>
        <v>1.2148316922525146E-2</v>
      </c>
      <c r="J16" s="50">
        <v>2.4</v>
      </c>
      <c r="K16" s="51">
        <f>AVERAGE(F401:F406)</f>
        <v>1.7423796953340627E-2</v>
      </c>
      <c r="L16" s="50">
        <v>2.4</v>
      </c>
      <c r="M16" s="51">
        <f>AVERAGE(F737:F742)</f>
        <v>2.3119964302134848E-2</v>
      </c>
      <c r="N16" s="50">
        <v>2.4</v>
      </c>
      <c r="O16" s="51">
        <f>AVERAGE(F1073:F1078)</f>
        <v>3.4962404619318051E-2</v>
      </c>
      <c r="P16" s="50">
        <v>2.4</v>
      </c>
      <c r="Q16" s="52">
        <f>AVERAGE(F1409:F1414)</f>
        <v>4.5887567786792594E-2</v>
      </c>
      <c r="R16" s="30"/>
      <c r="S16" s="23">
        <v>2.6</v>
      </c>
      <c r="T16" s="45">
        <f t="shared" si="5"/>
        <v>1.1904761904761904E-2</v>
      </c>
      <c r="U16" s="46">
        <f t="shared" si="4"/>
        <v>9.862565574428361E-3</v>
      </c>
      <c r="V16" s="46">
        <f t="shared" si="1"/>
        <v>8.1562897033446418E-3</v>
      </c>
      <c r="W16" s="46">
        <f t="shared" si="2"/>
        <v>6.7567567567567571E-3</v>
      </c>
      <c r="X16" s="47">
        <f t="shared" si="3"/>
        <v>5.6244806425735788E-3</v>
      </c>
      <c r="Y16">
        <v>14</v>
      </c>
    </row>
    <row r="17" spans="1:25" x14ac:dyDescent="0.25">
      <c r="A17" s="26">
        <v>0.5</v>
      </c>
      <c r="B17" s="26">
        <v>7</v>
      </c>
      <c r="C17" s="28">
        <v>0.8</v>
      </c>
      <c r="D17" s="28">
        <v>0.5</v>
      </c>
      <c r="E17" s="28">
        <v>34</v>
      </c>
      <c r="F17" s="29">
        <f t="shared" si="0"/>
        <v>1.4705882352941176E-2</v>
      </c>
      <c r="G17" s="3"/>
      <c r="H17" s="48">
        <v>2.6</v>
      </c>
      <c r="I17" s="51">
        <f>AVERAGE(F71:F76)</f>
        <v>1.1904761904761904E-2</v>
      </c>
      <c r="J17" s="50">
        <v>2.6</v>
      </c>
      <c r="K17" s="51">
        <f>AVERAGE(F407:F412)</f>
        <v>1.7148062512375217E-2</v>
      </c>
      <c r="L17" s="50">
        <v>2.6</v>
      </c>
      <c r="M17" s="51">
        <f>AVERAGE(F743:F748)</f>
        <v>2.2834477850706168E-2</v>
      </c>
      <c r="N17" s="50">
        <v>2.6</v>
      </c>
      <c r="O17" s="51">
        <f>AVERAGE(F1079:F1084)</f>
        <v>3.4023798427175449E-2</v>
      </c>
      <c r="P17" s="50">
        <v>2.6</v>
      </c>
      <c r="Q17" s="53">
        <f>AVERAGE(F1415:F1420)</f>
        <v>4.5454545454545463E-2</v>
      </c>
      <c r="R17" s="3"/>
      <c r="S17" s="35">
        <v>2.8</v>
      </c>
      <c r="T17" s="36">
        <f t="shared" si="5"/>
        <v>1.1655837017434676E-2</v>
      </c>
      <c r="U17" s="37">
        <f t="shared" si="4"/>
        <v>9.6717865697586881E-3</v>
      </c>
      <c r="V17" s="37">
        <f t="shared" si="1"/>
        <v>7.9837419646745997E-3</v>
      </c>
      <c r="W17" s="37">
        <f t="shared" si="2"/>
        <v>6.6398895855528592E-3</v>
      </c>
      <c r="X17" s="38">
        <f t="shared" si="3"/>
        <v>5.5170934681878408E-3</v>
      </c>
      <c r="Y17">
        <v>15</v>
      </c>
    </row>
    <row r="18" spans="1:25" ht="15.75" thickBot="1" x14ac:dyDescent="0.3">
      <c r="A18" s="26">
        <v>0.5</v>
      </c>
      <c r="B18" s="26">
        <v>7</v>
      </c>
      <c r="C18" s="26">
        <v>0.8</v>
      </c>
      <c r="D18" s="28">
        <v>1</v>
      </c>
      <c r="E18" s="28">
        <v>68</v>
      </c>
      <c r="F18" s="29">
        <f t="shared" si="0"/>
        <v>1.4705882352941176E-2</v>
      </c>
      <c r="G18" s="3"/>
      <c r="H18" s="48">
        <v>2.8</v>
      </c>
      <c r="I18" s="51">
        <f>AVERAGE(F77:F82)</f>
        <v>1.1655837017434676E-2</v>
      </c>
      <c r="J18" s="50">
        <v>2.8</v>
      </c>
      <c r="K18" s="51">
        <f>AVERAGE(F413:F418)</f>
        <v>1.6837049826424401E-2</v>
      </c>
      <c r="L18" s="50">
        <v>2.8</v>
      </c>
      <c r="M18" s="51">
        <f>AVERAGE(F749:F754)</f>
        <v>2.2419825506044693E-2</v>
      </c>
      <c r="N18" s="50">
        <v>2.8</v>
      </c>
      <c r="O18" s="51">
        <f>AVERAGE(F1085:F1090)</f>
        <v>3.3564992339511476E-2</v>
      </c>
      <c r="P18" s="50">
        <v>2.8</v>
      </c>
      <c r="Q18" s="52">
        <f>AVERAGE(F1421:F1426)</f>
        <v>4.4815026493033518E-2</v>
      </c>
      <c r="R18" s="3"/>
      <c r="S18" s="54">
        <v>3</v>
      </c>
      <c r="T18" s="55">
        <f t="shared" si="5"/>
        <v>1.146077776199537E-2</v>
      </c>
      <c r="U18" s="55">
        <f t="shared" si="4"/>
        <v>9.4882483279912656E-3</v>
      </c>
      <c r="V18" s="55">
        <f t="shared" si="1"/>
        <v>7.8496824176302934E-3</v>
      </c>
      <c r="W18" s="55">
        <f t="shared" si="2"/>
        <v>6.5191675984755853E-3</v>
      </c>
      <c r="X18" s="56">
        <f t="shared" si="3"/>
        <v>5.434782608695652E-3</v>
      </c>
      <c r="Y18">
        <v>16</v>
      </c>
    </row>
    <row r="19" spans="1:25" ht="15.75" thickBot="1" x14ac:dyDescent="0.3">
      <c r="A19" s="26">
        <v>0.5</v>
      </c>
      <c r="B19" s="26">
        <v>7</v>
      </c>
      <c r="C19" s="26">
        <v>0.8</v>
      </c>
      <c r="D19" s="26">
        <v>1.5</v>
      </c>
      <c r="E19" s="28">
        <v>103</v>
      </c>
      <c r="F19" s="29">
        <f t="shared" si="0"/>
        <v>1.4563106796116505E-2</v>
      </c>
      <c r="G19" s="3"/>
      <c r="H19" s="57">
        <v>3</v>
      </c>
      <c r="I19" s="58">
        <f>AVERAGE(F83:F88)</f>
        <v>1.146077776199537E-2</v>
      </c>
      <c r="J19" s="59">
        <v>3</v>
      </c>
      <c r="K19" s="58">
        <f>AVERAGE(F419:F424)</f>
        <v>1.6500572716256299E-2</v>
      </c>
      <c r="L19" s="59">
        <v>3</v>
      </c>
      <c r="M19" s="58">
        <f>AVERAGE(F755:F760)</f>
        <v>2.1837174677125235E-2</v>
      </c>
      <c r="N19" s="59">
        <v>3</v>
      </c>
      <c r="O19" s="58">
        <f>AVERAGE(F1091:F1096)</f>
        <v>3.298733622898007E-2</v>
      </c>
      <c r="P19" s="59">
        <v>3</v>
      </c>
      <c r="Q19" s="60">
        <f>AVERAGE(F1427:F1432)</f>
        <v>4.4245365668168196E-2</v>
      </c>
      <c r="R19" s="3"/>
      <c r="S19" s="3"/>
    </row>
    <row r="20" spans="1:25" x14ac:dyDescent="0.25">
      <c r="A20" s="26">
        <v>0.5</v>
      </c>
      <c r="B20" s="26">
        <v>7</v>
      </c>
      <c r="C20" s="26">
        <v>0.8</v>
      </c>
      <c r="D20" s="26">
        <v>2</v>
      </c>
      <c r="E20" s="28">
        <v>137</v>
      </c>
      <c r="F20" s="29">
        <f t="shared" si="0"/>
        <v>1.4598540145985401E-2</v>
      </c>
      <c r="G20" s="30" t="s">
        <v>31</v>
      </c>
      <c r="H20" s="48"/>
      <c r="I20" s="51">
        <v>0.5</v>
      </c>
      <c r="J20" s="50"/>
      <c r="K20" s="51">
        <v>5</v>
      </c>
      <c r="L20" s="61"/>
      <c r="M20" s="62">
        <v>10</v>
      </c>
      <c r="N20" s="61"/>
      <c r="O20" s="62">
        <v>15</v>
      </c>
      <c r="P20" s="61"/>
      <c r="Q20" s="63">
        <v>20</v>
      </c>
      <c r="R20" s="3"/>
    </row>
    <row r="21" spans="1:25" x14ac:dyDescent="0.25">
      <c r="A21" s="26">
        <v>0.5</v>
      </c>
      <c r="B21" s="26">
        <v>7</v>
      </c>
      <c r="C21" s="26">
        <v>0.8</v>
      </c>
      <c r="D21" s="26">
        <v>2.5</v>
      </c>
      <c r="E21" s="26">
        <v>171</v>
      </c>
      <c r="F21" s="64">
        <f t="shared" si="0"/>
        <v>1.4619883040935672E-2</v>
      </c>
      <c r="G21" s="30" t="s">
        <v>32</v>
      </c>
      <c r="H21" s="65"/>
      <c r="I21" s="32">
        <v>7.5</v>
      </c>
      <c r="J21" s="33"/>
      <c r="K21" s="32">
        <v>7.5</v>
      </c>
      <c r="L21" s="33"/>
      <c r="M21" s="32">
        <v>7.5</v>
      </c>
      <c r="N21" s="33"/>
      <c r="O21" s="32">
        <v>7.5</v>
      </c>
      <c r="P21" s="33"/>
      <c r="Q21" s="34">
        <v>7.5</v>
      </c>
      <c r="R21" s="3"/>
    </row>
    <row r="22" spans="1:25" x14ac:dyDescent="0.25">
      <c r="A22" s="26">
        <v>0.5</v>
      </c>
      <c r="B22" s="26">
        <v>7</v>
      </c>
      <c r="C22" s="26">
        <v>0.8</v>
      </c>
      <c r="D22" s="26">
        <v>3</v>
      </c>
      <c r="E22" s="26">
        <v>205</v>
      </c>
      <c r="F22" s="64">
        <f t="shared" si="0"/>
        <v>1.4634146341463415E-2</v>
      </c>
      <c r="G22" s="3"/>
      <c r="H22" s="40">
        <v>0.4</v>
      </c>
      <c r="I22" s="51">
        <f>AVERAGE(F89:F94)</f>
        <v>1.2617664697895525E-2</v>
      </c>
      <c r="J22" s="42">
        <v>0.4</v>
      </c>
      <c r="K22" s="51">
        <f>AVERAGE(F425:F430)</f>
        <v>1.8052916566536261E-2</v>
      </c>
      <c r="L22" s="42">
        <v>0.4</v>
      </c>
      <c r="M22" s="51">
        <f>AVERAGE(F761:F766)</f>
        <v>2.3927236418200271E-2</v>
      </c>
      <c r="N22" s="42">
        <v>0.4</v>
      </c>
      <c r="O22" s="51">
        <f>AVERAGE(F1097:F1102)</f>
        <v>3.5980492646286256E-2</v>
      </c>
      <c r="P22" s="42">
        <v>0.4</v>
      </c>
      <c r="Q22" s="52">
        <f>AVERAGE(F1433:F1438)</f>
        <v>4.8541775341539306E-2</v>
      </c>
      <c r="R22" s="30"/>
    </row>
    <row r="23" spans="1:25" x14ac:dyDescent="0.25">
      <c r="A23" s="26">
        <v>0.5</v>
      </c>
      <c r="B23" s="26">
        <v>7</v>
      </c>
      <c r="C23" s="26">
        <v>1</v>
      </c>
      <c r="D23" s="26">
        <v>0.5</v>
      </c>
      <c r="E23" s="26">
        <v>35</v>
      </c>
      <c r="F23" s="64">
        <f t="shared" si="0"/>
        <v>1.4285714285714285E-2</v>
      </c>
      <c r="G23" s="3"/>
      <c r="H23" s="48">
        <v>0.6</v>
      </c>
      <c r="I23" s="51">
        <f>AVERAGE(F95:F100)</f>
        <v>1.2532288612963858E-2</v>
      </c>
      <c r="J23" s="50">
        <v>0.6</v>
      </c>
      <c r="K23" s="51">
        <f>AVERAGE(F431:F436)</f>
        <v>1.7466222700891168E-2</v>
      </c>
      <c r="L23" s="50">
        <v>0.6</v>
      </c>
      <c r="M23" s="51">
        <f>AVERAGE(F767:F772)</f>
        <v>2.3472372584837742E-2</v>
      </c>
      <c r="N23" s="50">
        <v>0.6</v>
      </c>
      <c r="O23" s="51">
        <f>AVERAGE(F1103:F1108)</f>
        <v>3.4962404619318051E-2</v>
      </c>
      <c r="P23" s="50">
        <v>0.6</v>
      </c>
      <c r="Q23" s="52">
        <f>AVERAGE(F1439:F1444)</f>
        <v>4.6750838716887427E-2</v>
      </c>
      <c r="R23" s="3"/>
    </row>
    <row r="24" spans="1:25" x14ac:dyDescent="0.25">
      <c r="A24" s="26">
        <v>0.5</v>
      </c>
      <c r="B24" s="26">
        <v>7</v>
      </c>
      <c r="C24" s="26">
        <v>1</v>
      </c>
      <c r="D24" s="26">
        <v>1</v>
      </c>
      <c r="E24" s="26">
        <v>70</v>
      </c>
      <c r="F24" s="64">
        <f t="shared" si="0"/>
        <v>1.4285714285714285E-2</v>
      </c>
      <c r="G24" s="3"/>
      <c r="H24" s="48">
        <v>0.8</v>
      </c>
      <c r="I24" s="51">
        <f>AVERAGE(F101:F106)</f>
        <v>1.2195121951219511E-2</v>
      </c>
      <c r="J24" s="50">
        <v>0.8</v>
      </c>
      <c r="K24" s="51">
        <f>AVERAGE(F437:F442)</f>
        <v>1.7148062512375217E-2</v>
      </c>
      <c r="L24" s="50">
        <v>0.8</v>
      </c>
      <c r="M24" s="51">
        <f>AVERAGE(F773:F778)</f>
        <v>2.2834477850706168E-2</v>
      </c>
      <c r="N24" s="50">
        <v>0.8</v>
      </c>
      <c r="O24" s="51">
        <f>AVERAGE(F1109:F1114)</f>
        <v>3.4023798427175449E-2</v>
      </c>
      <c r="P24" s="50">
        <v>0.8</v>
      </c>
      <c r="Q24" s="52">
        <f>AVERAGE(F1445:F1450)</f>
        <v>4.5454545454545463E-2</v>
      </c>
      <c r="R24" s="3"/>
    </row>
    <row r="25" spans="1:25" x14ac:dyDescent="0.25">
      <c r="A25" s="26">
        <v>0.5</v>
      </c>
      <c r="B25" s="26">
        <v>7</v>
      </c>
      <c r="C25" s="26">
        <v>1</v>
      </c>
      <c r="D25" s="26">
        <v>1.5</v>
      </c>
      <c r="E25" s="26">
        <v>105</v>
      </c>
      <c r="F25" s="64">
        <f t="shared" si="0"/>
        <v>1.4285714285714285E-2</v>
      </c>
      <c r="G25" s="3"/>
      <c r="H25" s="48">
        <v>1</v>
      </c>
      <c r="I25" s="51">
        <f>AVERAGE(F107:F112)</f>
        <v>1.1860152616717863E-2</v>
      </c>
      <c r="J25" s="50">
        <v>1</v>
      </c>
      <c r="K25" s="51">
        <f>AVERAGE(F443:F448)</f>
        <v>1.6724170452553561E-2</v>
      </c>
      <c r="L25" s="50">
        <v>1</v>
      </c>
      <c r="M25" s="51">
        <f>AVERAGE(F779:F784)</f>
        <v>2.2419825506044693E-2</v>
      </c>
      <c r="N25" s="50">
        <v>1</v>
      </c>
      <c r="O25" s="51">
        <f>AVERAGE(F1115:F1120)</f>
        <v>3.3333333333333333E-2</v>
      </c>
      <c r="P25" s="50">
        <v>1</v>
      </c>
      <c r="Q25" s="52">
        <f>AVERAGE(F1451:F1456)</f>
        <v>4.4815026493033518E-2</v>
      </c>
      <c r="R25" s="3"/>
    </row>
    <row r="26" spans="1:25" x14ac:dyDescent="0.25">
      <c r="A26" s="26">
        <v>0.5</v>
      </c>
      <c r="B26" s="26">
        <v>7</v>
      </c>
      <c r="C26" s="26">
        <v>1</v>
      </c>
      <c r="D26" s="26">
        <v>2</v>
      </c>
      <c r="E26" s="26">
        <v>140</v>
      </c>
      <c r="F26" s="66">
        <f t="shared" si="0"/>
        <v>1.4285714285714285E-2</v>
      </c>
      <c r="G26" s="30"/>
      <c r="H26" s="48">
        <v>1.2</v>
      </c>
      <c r="I26" s="51">
        <f>AVERAGE(F113:F118)</f>
        <v>1.1585342465109012E-2</v>
      </c>
      <c r="J26" s="50">
        <v>1.2</v>
      </c>
      <c r="K26" s="51">
        <f>AVERAGE(F449:F454)</f>
        <v>1.6325596205674951E-2</v>
      </c>
      <c r="L26" s="50">
        <v>1.2</v>
      </c>
      <c r="M26" s="51">
        <f>AVERAGE(F785:F790)</f>
        <v>2.1837174677125235E-2</v>
      </c>
      <c r="N26" s="50">
        <v>1.2</v>
      </c>
      <c r="O26" s="51">
        <f>AVERAGE(F1121:F1126)</f>
        <v>3.2677201144540716E-2</v>
      </c>
      <c r="P26" s="50">
        <v>1.2</v>
      </c>
      <c r="Q26" s="52">
        <f>AVERAGE(F1457:F1462)</f>
        <v>4.3010340068061204E-2</v>
      </c>
      <c r="R26" s="3"/>
    </row>
    <row r="27" spans="1:25" x14ac:dyDescent="0.25">
      <c r="A27" s="26">
        <v>0.5</v>
      </c>
      <c r="B27" s="26">
        <v>7</v>
      </c>
      <c r="C27" s="26">
        <v>1</v>
      </c>
      <c r="D27" s="26">
        <v>2.5</v>
      </c>
      <c r="E27" s="26">
        <v>175</v>
      </c>
      <c r="F27" s="66">
        <f t="shared" si="0"/>
        <v>1.4285714285714285E-2</v>
      </c>
      <c r="G27" s="30"/>
      <c r="H27" s="48">
        <v>1.4</v>
      </c>
      <c r="I27" s="51">
        <f>AVERAGE(F119:F124)</f>
        <v>1.12861131144616E-2</v>
      </c>
      <c r="J27" s="50">
        <v>1.4</v>
      </c>
      <c r="K27" s="51">
        <f>AVERAGE(F455:F460)</f>
        <v>1.6047322183157298E-2</v>
      </c>
      <c r="L27" s="50">
        <v>1.4</v>
      </c>
      <c r="M27" s="51">
        <f>AVERAGE(F791:F796)</f>
        <v>2.1457627791368953E-2</v>
      </c>
      <c r="N27" s="50">
        <v>1.4</v>
      </c>
      <c r="O27" s="51">
        <f>AVERAGE(F1127:F1132)</f>
        <v>3.1855860924580891E-2</v>
      </c>
      <c r="P27" s="50">
        <v>1.4</v>
      </c>
      <c r="Q27" s="52">
        <f>AVERAGE(F1463:F1468)</f>
        <v>4.2752642169290228E-2</v>
      </c>
      <c r="R27" s="3"/>
    </row>
    <row r="28" spans="1:25" x14ac:dyDescent="0.25">
      <c r="A28" s="26">
        <v>0.5</v>
      </c>
      <c r="B28" s="26">
        <v>7</v>
      </c>
      <c r="C28" s="26">
        <v>1</v>
      </c>
      <c r="D28" s="26">
        <v>3</v>
      </c>
      <c r="E28" s="26">
        <v>210</v>
      </c>
      <c r="F28" s="66">
        <f t="shared" si="0"/>
        <v>1.4285714285714285E-2</v>
      </c>
      <c r="G28" s="30"/>
      <c r="H28" s="48">
        <v>1.6</v>
      </c>
      <c r="I28" s="51">
        <f>AVERAGE(F125:F130)</f>
        <v>1.0958402595769181E-2</v>
      </c>
      <c r="J28" s="50">
        <v>1.6</v>
      </c>
      <c r="K28" s="51">
        <f>AVERAGE(F461:F466)</f>
        <v>1.5625E-2</v>
      </c>
      <c r="L28" s="50">
        <v>1.6</v>
      </c>
      <c r="M28" s="51">
        <f>AVERAGE(F797:F802)</f>
        <v>2.0833333333333332E-2</v>
      </c>
      <c r="N28" s="50">
        <v>1.6</v>
      </c>
      <c r="O28" s="51">
        <f>AVERAGE(F1133:F1138)</f>
        <v>3.125E-2</v>
      </c>
      <c r="P28" s="50">
        <v>1.6</v>
      </c>
      <c r="Q28" s="52">
        <f>AVERAGE(F1469:F1474)</f>
        <v>4.1666666666666664E-2</v>
      </c>
      <c r="R28" s="3"/>
    </row>
    <row r="29" spans="1:25" x14ac:dyDescent="0.25">
      <c r="A29" s="26">
        <v>0.5</v>
      </c>
      <c r="B29" s="26">
        <v>7</v>
      </c>
      <c r="C29" s="26">
        <v>1.2</v>
      </c>
      <c r="D29" s="26">
        <v>0.5</v>
      </c>
      <c r="E29" s="26">
        <v>36</v>
      </c>
      <c r="F29" s="66">
        <f t="shared" si="0"/>
        <v>1.3888888888888888E-2</v>
      </c>
      <c r="G29" s="30"/>
      <c r="H29" s="48">
        <v>1.8</v>
      </c>
      <c r="I29" s="51">
        <f>AVERAGE(F131:F136)</f>
        <v>1.0723376972776791E-2</v>
      </c>
      <c r="J29" s="50">
        <v>1.8</v>
      </c>
      <c r="K29" s="51">
        <f>AVERAGE(F467:F472)</f>
        <v>1.529216238658204E-2</v>
      </c>
      <c r="L29" s="50">
        <v>1.8</v>
      </c>
      <c r="M29" s="51">
        <f>AVERAGE(F803:F808)</f>
        <v>2.0303327219703526E-2</v>
      </c>
      <c r="N29" s="50">
        <v>1.8</v>
      </c>
      <c r="O29" s="51">
        <f>AVERAGE(F1139:F1144)</f>
        <v>3.0672425957704707E-2</v>
      </c>
      <c r="P29" s="50">
        <v>1.8</v>
      </c>
      <c r="Q29" s="52">
        <f>AVERAGE(F1475:F1480)</f>
        <v>4.064777582058688E-2</v>
      </c>
      <c r="R29" s="30"/>
    </row>
    <row r="30" spans="1:25" x14ac:dyDescent="0.25">
      <c r="A30" s="26">
        <v>0.5</v>
      </c>
      <c r="B30" s="26">
        <v>7</v>
      </c>
      <c r="C30" s="26">
        <v>1.2</v>
      </c>
      <c r="D30" s="26">
        <v>1</v>
      </c>
      <c r="E30" s="26">
        <v>72</v>
      </c>
      <c r="F30" s="66">
        <f t="shared" si="0"/>
        <v>1.3888888888888888E-2</v>
      </c>
      <c r="G30" s="30"/>
      <c r="H30" s="48">
        <v>2</v>
      </c>
      <c r="I30" s="51">
        <f>AVERAGE(F137:F142)</f>
        <v>1.0482901550719214E-2</v>
      </c>
      <c r="J30" s="50">
        <v>2</v>
      </c>
      <c r="K30" s="51">
        <f>AVERAGE(F473:F478)</f>
        <v>1.5014090358507572E-2</v>
      </c>
      <c r="L30" s="50">
        <v>2</v>
      </c>
      <c r="M30" s="51">
        <f>AVERAGE(F809:F814)</f>
        <v>0.02</v>
      </c>
      <c r="N30" s="50">
        <v>2</v>
      </c>
      <c r="O30" s="51">
        <f>AVERAGE(F1145:F1150)</f>
        <v>2.9947670534213374E-2</v>
      </c>
      <c r="P30" s="50">
        <v>2</v>
      </c>
      <c r="Q30" s="52">
        <f>AVERAGE(F1481:F1486)</f>
        <v>3.9602960392434078E-2</v>
      </c>
      <c r="R30" s="3"/>
    </row>
    <row r="31" spans="1:25" x14ac:dyDescent="0.25">
      <c r="A31" s="26">
        <v>0.5</v>
      </c>
      <c r="B31" s="26">
        <v>7</v>
      </c>
      <c r="C31" s="26">
        <v>1.2</v>
      </c>
      <c r="D31" s="26">
        <v>1.5</v>
      </c>
      <c r="E31" s="26">
        <v>108</v>
      </c>
      <c r="F31" s="66">
        <f t="shared" si="0"/>
        <v>1.3888888888888888E-2</v>
      </c>
      <c r="G31" s="30"/>
      <c r="H31" s="48">
        <v>2.2000000000000002</v>
      </c>
      <c r="I31" s="51">
        <f>AVERAGE(F143:F148)</f>
        <v>1.0075131593046726E-2</v>
      </c>
      <c r="J31" s="50">
        <v>2.2000000000000002</v>
      </c>
      <c r="K31" s="51">
        <f>AVERAGE(F479:F484)</f>
        <v>1.4705882352941178E-2</v>
      </c>
      <c r="L31" s="50">
        <v>2.2000000000000002</v>
      </c>
      <c r="M31" s="51">
        <f>AVERAGE(F815:F820)</f>
        <v>1.9511011353842235E-2</v>
      </c>
      <c r="N31" s="50">
        <v>2.2000000000000002</v>
      </c>
      <c r="O31" s="51">
        <f>AVERAGE(F1151:F1156)</f>
        <v>2.9411764705882356E-2</v>
      </c>
      <c r="P31" s="50">
        <v>2.2000000000000002</v>
      </c>
      <c r="Q31" s="52">
        <f>AVERAGE(F1487:F1492)</f>
        <v>3.8770640103360697E-2</v>
      </c>
      <c r="R31" s="3"/>
    </row>
    <row r="32" spans="1:25" x14ac:dyDescent="0.25">
      <c r="A32" s="26">
        <v>0.5</v>
      </c>
      <c r="B32" s="26">
        <v>7</v>
      </c>
      <c r="C32" s="26">
        <v>1.2</v>
      </c>
      <c r="D32" s="26">
        <v>2</v>
      </c>
      <c r="E32" s="26">
        <v>143</v>
      </c>
      <c r="F32" s="66">
        <f t="shared" si="0"/>
        <v>1.3986013986013986E-2</v>
      </c>
      <c r="G32" s="30"/>
      <c r="H32" s="48">
        <v>2.4</v>
      </c>
      <c r="I32" s="51">
        <f>AVERAGE(F149:F154)</f>
        <v>1.0061022451083548E-2</v>
      </c>
      <c r="J32" s="50">
        <v>2.4</v>
      </c>
      <c r="K32" s="51">
        <f>AVERAGE(F485:F490)</f>
        <v>1.4327919190562652E-2</v>
      </c>
      <c r="L32" s="50">
        <v>2.4</v>
      </c>
      <c r="M32" s="51">
        <f>AVERAGE(F821:F826)</f>
        <v>1.9114791500289222E-2</v>
      </c>
      <c r="N32" s="50">
        <v>2.4</v>
      </c>
      <c r="O32" s="51">
        <f>AVERAGE(F1157:F1162)</f>
        <v>2.8367173532267868E-2</v>
      </c>
      <c r="P32" s="50">
        <v>2.4</v>
      </c>
      <c r="Q32" s="52">
        <f>AVERAGE(F1493:F1498)</f>
        <v>3.8461538461538464E-2</v>
      </c>
      <c r="R32" s="3"/>
    </row>
    <row r="33" spans="1:19" x14ac:dyDescent="0.25">
      <c r="A33" s="26">
        <v>0.5</v>
      </c>
      <c r="B33" s="26">
        <v>7</v>
      </c>
      <c r="C33" s="26">
        <v>1.2</v>
      </c>
      <c r="D33" s="26">
        <v>2.5</v>
      </c>
      <c r="E33" s="26">
        <v>179</v>
      </c>
      <c r="F33" s="66">
        <f t="shared" si="0"/>
        <v>1.3966480446927373E-2</v>
      </c>
      <c r="G33" s="30"/>
      <c r="H33" s="48">
        <v>2.6</v>
      </c>
      <c r="I33" s="51">
        <f>AVERAGE(F155:F160)</f>
        <v>9.862565574428361E-3</v>
      </c>
      <c r="J33" s="50">
        <v>2.6</v>
      </c>
      <c r="K33" s="51">
        <f>AVERAGE(F491:F496)</f>
        <v>1.403434090410987E-2</v>
      </c>
      <c r="L33" s="50">
        <v>2.6</v>
      </c>
      <c r="M33" s="51">
        <f>AVERAGE(F827:F832)</f>
        <v>1.8729170718845025E-2</v>
      </c>
      <c r="N33" s="50">
        <v>2.6</v>
      </c>
      <c r="O33" s="51">
        <f>AVERAGE(F1163:F1168)</f>
        <v>2.7938269705976654E-2</v>
      </c>
      <c r="P33" s="50">
        <v>2.6</v>
      </c>
      <c r="Q33" s="52">
        <f>AVERAGE(F1499:F1504)</f>
        <v>3.7591309565166695E-2</v>
      </c>
      <c r="R33" s="3"/>
    </row>
    <row r="34" spans="1:19" x14ac:dyDescent="0.25">
      <c r="A34" s="26">
        <v>0.5</v>
      </c>
      <c r="B34" s="26">
        <v>7</v>
      </c>
      <c r="C34" s="26">
        <v>1.2</v>
      </c>
      <c r="D34" s="26">
        <v>3</v>
      </c>
      <c r="E34" s="26">
        <v>215</v>
      </c>
      <c r="F34" s="66">
        <f t="shared" si="0"/>
        <v>1.3953488372093023E-2</v>
      </c>
      <c r="G34" s="30"/>
      <c r="H34" s="48">
        <v>2.8</v>
      </c>
      <c r="I34" s="51">
        <f>AVERAGE(F161:F166)</f>
        <v>9.6717865697586881E-3</v>
      </c>
      <c r="J34" s="50">
        <v>2.8</v>
      </c>
      <c r="K34" s="51">
        <f>AVERAGE(F497:F502)</f>
        <v>1.3828231434120203E-2</v>
      </c>
      <c r="L34" s="50">
        <v>2.8</v>
      </c>
      <c r="M34" s="51">
        <f>AVERAGE(F833:F838)</f>
        <v>1.8410934122285654E-2</v>
      </c>
      <c r="N34" s="50">
        <v>2.8</v>
      </c>
      <c r="O34" s="51">
        <f>AVERAGE(F1169:F1174)</f>
        <v>2.7536834392433235E-2</v>
      </c>
      <c r="P34" s="50">
        <v>2.8</v>
      </c>
      <c r="Q34" s="52">
        <f>AVERAGE(F1505:F1510)</f>
        <v>3.669591142690138E-2</v>
      </c>
      <c r="R34" s="3"/>
    </row>
    <row r="35" spans="1:19" ht="15.75" thickBot="1" x14ac:dyDescent="0.3">
      <c r="A35" s="26">
        <v>0.5</v>
      </c>
      <c r="B35" s="26">
        <v>7</v>
      </c>
      <c r="C35" s="26">
        <v>1.4</v>
      </c>
      <c r="D35" s="26">
        <v>0.5</v>
      </c>
      <c r="E35" s="26">
        <v>37</v>
      </c>
      <c r="F35" s="66">
        <f t="shared" si="0"/>
        <v>1.3513513513513514E-2</v>
      </c>
      <c r="G35" s="30"/>
      <c r="H35" s="57">
        <v>3</v>
      </c>
      <c r="I35" s="58">
        <f>AVERAGE(F167:F172)</f>
        <v>9.4882483279912656E-3</v>
      </c>
      <c r="J35" s="59">
        <v>3</v>
      </c>
      <c r="K35" s="58">
        <f>AVERAGE(F503:F508)</f>
        <v>1.3551266645439097E-2</v>
      </c>
      <c r="L35" s="59">
        <v>3</v>
      </c>
      <c r="M35" s="58">
        <f>AVERAGE(F839:F844)</f>
        <v>1.8052916566536261E-2</v>
      </c>
      <c r="N35" s="59">
        <v>3</v>
      </c>
      <c r="O35" s="58">
        <f>AVERAGE(F1175:F1180)</f>
        <v>2.6844050878431183E-2</v>
      </c>
      <c r="P35" s="59">
        <v>3</v>
      </c>
      <c r="Q35" s="60">
        <f>AVERAGE(F1511:F1516)</f>
        <v>3.5980492646286256E-2</v>
      </c>
      <c r="R35" s="3"/>
    </row>
    <row r="36" spans="1:19" x14ac:dyDescent="0.25">
      <c r="A36" s="26">
        <v>0.5</v>
      </c>
      <c r="B36" s="26">
        <v>7</v>
      </c>
      <c r="C36" s="26">
        <v>1.4</v>
      </c>
      <c r="D36" s="26">
        <v>1</v>
      </c>
      <c r="E36" s="26">
        <v>74</v>
      </c>
      <c r="F36" s="66">
        <f t="shared" si="0"/>
        <v>1.3513513513513514E-2</v>
      </c>
      <c r="G36" s="30" t="s">
        <v>31</v>
      </c>
      <c r="H36" s="67"/>
      <c r="I36" s="51">
        <v>0.5</v>
      </c>
      <c r="J36" s="50"/>
      <c r="K36" s="51">
        <v>5</v>
      </c>
      <c r="L36" s="61"/>
      <c r="M36" s="62">
        <v>10</v>
      </c>
      <c r="N36" s="61"/>
      <c r="O36" s="62">
        <v>15</v>
      </c>
      <c r="P36" s="61"/>
      <c r="Q36" s="63">
        <v>20</v>
      </c>
      <c r="R36" s="3"/>
    </row>
    <row r="37" spans="1:19" x14ac:dyDescent="0.25">
      <c r="A37" s="26">
        <v>0.5</v>
      </c>
      <c r="B37" s="26">
        <v>7</v>
      </c>
      <c r="C37" s="26">
        <v>1.4</v>
      </c>
      <c r="D37" s="26">
        <v>1.5</v>
      </c>
      <c r="E37" s="26">
        <v>111</v>
      </c>
      <c r="F37" s="66">
        <f t="shared" si="0"/>
        <v>1.3513513513513514E-2</v>
      </c>
      <c r="G37" s="30" t="s">
        <v>32</v>
      </c>
      <c r="H37" s="65"/>
      <c r="I37" s="32">
        <v>8</v>
      </c>
      <c r="J37" s="33"/>
      <c r="K37" s="32">
        <v>8</v>
      </c>
      <c r="L37" s="33"/>
      <c r="M37" s="32">
        <v>8</v>
      </c>
      <c r="N37" s="33"/>
      <c r="O37" s="32">
        <v>8</v>
      </c>
      <c r="P37" s="33"/>
      <c r="Q37" s="34">
        <v>8</v>
      </c>
      <c r="R37" s="3"/>
    </row>
    <row r="38" spans="1:19" x14ac:dyDescent="0.25">
      <c r="A38" s="26">
        <v>0.5</v>
      </c>
      <c r="B38" s="26">
        <v>7</v>
      </c>
      <c r="C38" s="26">
        <v>1.4</v>
      </c>
      <c r="D38" s="26">
        <v>2</v>
      </c>
      <c r="E38" s="26">
        <v>147</v>
      </c>
      <c r="F38" s="66">
        <f t="shared" si="0"/>
        <v>1.3605442176870748E-2</v>
      </c>
      <c r="G38" s="30"/>
      <c r="H38" s="40">
        <v>0.4</v>
      </c>
      <c r="I38" s="30">
        <f>AVERAGE(F173:F178)</f>
        <v>1.0832357314054393E-2</v>
      </c>
      <c r="J38" s="42">
        <v>0.4</v>
      </c>
      <c r="K38" s="30">
        <f>AVERAGE(F509:F514)</f>
        <v>1.5151515151515152E-2</v>
      </c>
      <c r="L38" s="42">
        <v>0.4</v>
      </c>
      <c r="M38" s="30">
        <f>AVERAGE(F845:F850)</f>
        <v>2.0082923118753385E-2</v>
      </c>
      <c r="N38" s="42">
        <v>0.4</v>
      </c>
      <c r="O38" s="30">
        <f>AVERAGE(F1181:F1186)</f>
        <v>3.0073556257114022E-2</v>
      </c>
      <c r="P38" s="42">
        <v>0.4</v>
      </c>
      <c r="Q38" s="53">
        <f>AVERAGE(F1517:F1522)</f>
        <v>4.064777582058688E-2</v>
      </c>
      <c r="R38" s="3"/>
    </row>
    <row r="39" spans="1:19" x14ac:dyDescent="0.25">
      <c r="A39" s="26">
        <v>0.5</v>
      </c>
      <c r="B39" s="26">
        <v>7</v>
      </c>
      <c r="C39" s="26">
        <v>1.4</v>
      </c>
      <c r="D39" s="26">
        <v>2.5</v>
      </c>
      <c r="E39" s="26">
        <v>184</v>
      </c>
      <c r="F39" s="66">
        <f t="shared" si="0"/>
        <v>1.358695652173913E-2</v>
      </c>
      <c r="G39" s="30"/>
      <c r="H39" s="48">
        <v>0.6</v>
      </c>
      <c r="I39" s="30">
        <f>AVERAGE(F179:F184)</f>
        <v>1.0482901550719214E-2</v>
      </c>
      <c r="J39" s="50">
        <v>0.6</v>
      </c>
      <c r="K39" s="30">
        <f>AVERAGE(F515:F520)</f>
        <v>1.4705882352941178E-2</v>
      </c>
      <c r="L39" s="50">
        <v>0.6</v>
      </c>
      <c r="M39" s="30">
        <f>AVERAGE(F851:F856)</f>
        <v>1.9511011353842235E-2</v>
      </c>
      <c r="N39" s="50">
        <v>0.6</v>
      </c>
      <c r="O39" s="30">
        <f>AVERAGE(F1187:F1192)</f>
        <v>2.9411764705882356E-2</v>
      </c>
      <c r="P39" s="50">
        <v>0.6</v>
      </c>
      <c r="Q39" s="53">
        <f>AVERAGE(F1523:F1528)</f>
        <v>3.8770640103360697E-2</v>
      </c>
      <c r="R39" s="3"/>
      <c r="S39" s="3"/>
    </row>
    <row r="40" spans="1:19" x14ac:dyDescent="0.25">
      <c r="A40" s="26">
        <v>0.5</v>
      </c>
      <c r="B40" s="26">
        <v>7</v>
      </c>
      <c r="C40" s="26">
        <v>1.4</v>
      </c>
      <c r="D40" s="26">
        <v>3</v>
      </c>
      <c r="E40" s="26">
        <v>201</v>
      </c>
      <c r="F40" s="66">
        <f t="shared" si="0"/>
        <v>1.4925373134328358E-2</v>
      </c>
      <c r="G40" s="30"/>
      <c r="H40" s="48">
        <v>0.8</v>
      </c>
      <c r="I40" s="30">
        <f>AVERAGE(F185:F190)</f>
        <v>1.0171279302640106E-2</v>
      </c>
      <c r="J40" s="50">
        <v>0.8</v>
      </c>
      <c r="K40" s="30">
        <f>AVERAGE(F521:F526)</f>
        <v>1.4285714285714285E-2</v>
      </c>
      <c r="L40" s="50">
        <v>0.8</v>
      </c>
      <c r="M40" s="30">
        <f>AVERAGE(F857:F862)</f>
        <v>1.9010065048397983E-2</v>
      </c>
      <c r="N40" s="50">
        <v>0.8</v>
      </c>
      <c r="O40" s="30">
        <f>AVERAGE(F1193:F1198)</f>
        <v>2.8367173532267868E-2</v>
      </c>
      <c r="P40" s="50">
        <v>0.8</v>
      </c>
      <c r="Q40" s="53">
        <f>AVERAGE(F1529:F1534)</f>
        <v>3.8002066233795394E-2</v>
      </c>
      <c r="R40" s="3"/>
      <c r="S40" s="3"/>
    </row>
    <row r="41" spans="1:19" x14ac:dyDescent="0.25">
      <c r="A41" s="26">
        <v>0.5</v>
      </c>
      <c r="B41" s="26">
        <v>7</v>
      </c>
      <c r="C41" s="26">
        <v>1.6</v>
      </c>
      <c r="D41" s="26">
        <v>0.5</v>
      </c>
      <c r="E41" s="26">
        <v>38</v>
      </c>
      <c r="F41" s="66">
        <f t="shared" si="0"/>
        <v>1.3157894736842105E-2</v>
      </c>
      <c r="G41" s="30"/>
      <c r="H41" s="48">
        <v>1</v>
      </c>
      <c r="I41" s="30">
        <f>AVERAGE(F191:F196)</f>
        <v>9.862565574428361E-3</v>
      </c>
      <c r="J41" s="50">
        <v>1</v>
      </c>
      <c r="K41" s="30">
        <f>AVERAGE(F527:F532)</f>
        <v>1.388888888888889E-2</v>
      </c>
      <c r="L41" s="50">
        <v>1</v>
      </c>
      <c r="M41" s="30">
        <f>AVERAGE(F863:F868)</f>
        <v>1.8518518518518517E-2</v>
      </c>
      <c r="N41" s="50">
        <v>1</v>
      </c>
      <c r="O41" s="30">
        <f>AVERAGE(F1199:F1204)</f>
        <v>2.777777777777778E-2</v>
      </c>
      <c r="P41" s="50">
        <v>1</v>
      </c>
      <c r="Q41" s="53">
        <f>AVERAGE(F1535:F1540)</f>
        <v>3.669591142690138E-2</v>
      </c>
      <c r="R41" s="3"/>
      <c r="S41" s="3"/>
    </row>
    <row r="42" spans="1:19" x14ac:dyDescent="0.25">
      <c r="A42" s="26">
        <v>0.5</v>
      </c>
      <c r="B42" s="26">
        <v>7</v>
      </c>
      <c r="C42" s="26">
        <v>1.6</v>
      </c>
      <c r="D42" s="26">
        <v>1</v>
      </c>
      <c r="E42" s="26">
        <v>75</v>
      </c>
      <c r="F42" s="66">
        <f t="shared" si="0"/>
        <v>1.3333333333333334E-2</v>
      </c>
      <c r="G42" s="30"/>
      <c r="H42" s="48">
        <v>1.2</v>
      </c>
      <c r="I42" s="30">
        <f>AVERAGE(F197:F202)</f>
        <v>9.5862493244387136E-3</v>
      </c>
      <c r="J42" s="50">
        <v>1.2</v>
      </c>
      <c r="K42" s="30">
        <f>AVERAGE(F533:F538)</f>
        <v>1.3551266645439097E-2</v>
      </c>
      <c r="L42" s="50">
        <v>1.2</v>
      </c>
      <c r="M42" s="30">
        <f>AVERAGE(F869:F874)</f>
        <v>1.8052916566536261E-2</v>
      </c>
      <c r="N42" s="50">
        <v>1.2</v>
      </c>
      <c r="O42" s="30">
        <f>AVERAGE(F1205:F1210)</f>
        <v>2.6765730076426172E-2</v>
      </c>
      <c r="P42" s="50">
        <v>1.2</v>
      </c>
      <c r="Q42" s="53">
        <f>AVERAGE(F1541:F1546)</f>
        <v>3.5980492646286256E-2</v>
      </c>
      <c r="R42" s="3"/>
      <c r="S42" s="3"/>
    </row>
    <row r="43" spans="1:19" x14ac:dyDescent="0.25">
      <c r="A43" s="26">
        <v>0.5</v>
      </c>
      <c r="B43" s="26">
        <v>7</v>
      </c>
      <c r="C43" s="26">
        <v>1.6</v>
      </c>
      <c r="D43" s="26">
        <v>1.5</v>
      </c>
      <c r="E43" s="26">
        <v>113</v>
      </c>
      <c r="F43" s="66">
        <f t="shared" si="0"/>
        <v>1.3274336283185841E-2</v>
      </c>
      <c r="G43" s="30"/>
      <c r="H43" s="48">
        <v>1.4</v>
      </c>
      <c r="I43" s="30">
        <f>AVERAGE(F203:F208)</f>
        <v>9.3236284720199965E-3</v>
      </c>
      <c r="J43" s="50">
        <v>1.4</v>
      </c>
      <c r="K43" s="30">
        <f>AVERAGE(F539:F544)</f>
        <v>1.3193681596909888E-2</v>
      </c>
      <c r="L43" s="50">
        <v>1.4</v>
      </c>
      <c r="M43" s="30">
        <f>AVERAGE(F875:F880)</f>
        <v>1.7666644833398196E-2</v>
      </c>
      <c r="N43" s="50">
        <v>1.4</v>
      </c>
      <c r="O43" s="30">
        <f>AVERAGE(F1211:F1216)</f>
        <v>2.6315789473684209E-2</v>
      </c>
      <c r="P43" s="50">
        <v>1.4</v>
      </c>
      <c r="Q43" s="53">
        <f>AVERAGE(F1547:F1552)</f>
        <v>3.5317566151623708E-2</v>
      </c>
      <c r="R43" s="3"/>
      <c r="S43" s="3"/>
    </row>
    <row r="44" spans="1:19" x14ac:dyDescent="0.25">
      <c r="A44" s="26">
        <v>0.5</v>
      </c>
      <c r="B44" s="26">
        <v>7</v>
      </c>
      <c r="C44" s="26">
        <v>1.6</v>
      </c>
      <c r="D44" s="26">
        <v>2</v>
      </c>
      <c r="E44" s="26">
        <v>151</v>
      </c>
      <c r="F44" s="66">
        <f t="shared" si="0"/>
        <v>1.3245033112582781E-2</v>
      </c>
      <c r="G44" s="30"/>
      <c r="H44" s="48">
        <v>1.6</v>
      </c>
      <c r="I44" s="30">
        <f>AVERAGE(F209:F214)</f>
        <v>9.1079626647878331E-3</v>
      </c>
      <c r="J44" s="50">
        <v>1.6</v>
      </c>
      <c r="K44" s="30">
        <f>AVERAGE(F545:F550)</f>
        <v>1.2921031409190388E-2</v>
      </c>
      <c r="L44" s="50">
        <v>1.6</v>
      </c>
      <c r="M44" s="30">
        <f>AVERAGE(F881:F886)</f>
        <v>1.7241379310344831E-2</v>
      </c>
      <c r="N44" s="50">
        <v>1.6</v>
      </c>
      <c r="O44" s="30">
        <f>AVERAGE(F1217:F1222)</f>
        <v>2.5904695816009824E-2</v>
      </c>
      <c r="P44" s="50">
        <v>1.6</v>
      </c>
      <c r="Q44" s="53">
        <f>AVERAGE(F1553:F1558)</f>
        <v>3.4186515604796186E-2</v>
      </c>
      <c r="R44" s="3"/>
      <c r="S44" s="3"/>
    </row>
    <row r="45" spans="1:19" x14ac:dyDescent="0.25">
      <c r="A45" s="26">
        <v>0.5</v>
      </c>
      <c r="B45" s="26">
        <v>7</v>
      </c>
      <c r="C45" s="26">
        <v>1.6</v>
      </c>
      <c r="D45" s="26">
        <v>2.5</v>
      </c>
      <c r="E45" s="26">
        <v>188</v>
      </c>
      <c r="F45" s="66">
        <f t="shared" si="0"/>
        <v>1.3297872340425532E-2</v>
      </c>
      <c r="G45" s="30"/>
      <c r="H45" s="48">
        <v>1.8</v>
      </c>
      <c r="I45" s="30">
        <f>AVERAGE(F215:F220)</f>
        <v>8.8806242260792336E-3</v>
      </c>
      <c r="J45" s="50">
        <v>1.8</v>
      </c>
      <c r="K45" s="30">
        <f>AVERAGE(F551:F556)</f>
        <v>1.2595531810029766E-2</v>
      </c>
      <c r="L45" s="50">
        <v>1.8</v>
      </c>
      <c r="M45" s="30">
        <f>AVERAGE(F887:F892)</f>
        <v>1.6724170452553561E-2</v>
      </c>
      <c r="N45" s="50">
        <v>1.8</v>
      </c>
      <c r="O45" s="30">
        <f>AVERAGE(F1223:F1228)</f>
        <v>2.5129844163723537E-2</v>
      </c>
      <c r="P45" s="50">
        <v>1.8</v>
      </c>
      <c r="Q45" s="53">
        <f>AVERAGE(F1559:F1564)</f>
        <v>3.3564992339511476E-2</v>
      </c>
      <c r="R45" s="3"/>
      <c r="S45" s="3"/>
    </row>
    <row r="46" spans="1:19" x14ac:dyDescent="0.25">
      <c r="A46" s="26">
        <v>0.5</v>
      </c>
      <c r="B46" s="26">
        <v>7</v>
      </c>
      <c r="C46" s="26">
        <v>1.6</v>
      </c>
      <c r="D46" s="26">
        <v>3</v>
      </c>
      <c r="E46" s="26">
        <v>226</v>
      </c>
      <c r="F46" s="66">
        <f t="shared" si="0"/>
        <v>1.3274336283185841E-2</v>
      </c>
      <c r="G46" s="30"/>
      <c r="H46" s="48">
        <v>2</v>
      </c>
      <c r="I46" s="30">
        <f>AVERAGE(F221:F226)</f>
        <v>8.6659910841795692E-3</v>
      </c>
      <c r="J46" s="50">
        <v>2</v>
      </c>
      <c r="K46" s="30">
        <f>AVERAGE(F557:F562)</f>
        <v>1.2307085315238374E-2</v>
      </c>
      <c r="L46" s="50">
        <v>2</v>
      </c>
      <c r="M46" s="30">
        <f>AVERAGE(F893:F898)</f>
        <v>1.6500572716256299E-2</v>
      </c>
      <c r="N46" s="50">
        <v>2</v>
      </c>
      <c r="O46" s="30">
        <f>AVERAGE(F1229:F1234)</f>
        <v>2.4628622286258579E-2</v>
      </c>
      <c r="P46" s="50">
        <v>2</v>
      </c>
      <c r="Q46" s="53">
        <f>AVERAGE(F1565:F1570)</f>
        <v>3.298733622898007E-2</v>
      </c>
      <c r="R46" s="3"/>
      <c r="S46" s="3"/>
    </row>
    <row r="47" spans="1:19" x14ac:dyDescent="0.25">
      <c r="A47" s="26">
        <v>0.5</v>
      </c>
      <c r="B47" s="26">
        <v>7</v>
      </c>
      <c r="C47" s="26">
        <v>1.8</v>
      </c>
      <c r="D47" s="26">
        <v>0.5</v>
      </c>
      <c r="E47" s="26">
        <v>39</v>
      </c>
      <c r="F47" s="66">
        <f t="shared" si="0"/>
        <v>1.282051282051282E-2</v>
      </c>
      <c r="G47" s="30"/>
      <c r="H47" s="48">
        <v>2.2000000000000002</v>
      </c>
      <c r="I47" s="30">
        <f>AVERAGE(F227:F232)</f>
        <v>8.4893920068968304E-3</v>
      </c>
      <c r="J47" s="50">
        <v>2.2000000000000002</v>
      </c>
      <c r="K47" s="30">
        <f>AVERAGE(F563:F568)</f>
        <v>1.2105894986100513E-2</v>
      </c>
      <c r="L47" s="50">
        <v>2.2000000000000002</v>
      </c>
      <c r="M47" s="30">
        <f>AVERAGE(F899:F904)</f>
        <v>1.6129032258064516E-2</v>
      </c>
      <c r="N47" s="50">
        <v>2.2000000000000002</v>
      </c>
      <c r="O47" s="30">
        <f>AVERAGE(F1235:F1240)</f>
        <v>2.4159182448086538E-2</v>
      </c>
      <c r="P47" s="50">
        <v>2.2000000000000002</v>
      </c>
      <c r="Q47" s="53">
        <f>AVERAGE(F1571:F1576)</f>
        <v>3.1998394869448402E-2</v>
      </c>
      <c r="R47" s="3"/>
      <c r="S47" s="3"/>
    </row>
    <row r="48" spans="1:19" x14ac:dyDescent="0.25">
      <c r="A48" s="26">
        <v>0.5</v>
      </c>
      <c r="B48" s="26">
        <v>7</v>
      </c>
      <c r="C48" s="26">
        <v>1.8</v>
      </c>
      <c r="D48" s="26">
        <v>1</v>
      </c>
      <c r="E48" s="26">
        <v>77</v>
      </c>
      <c r="F48" s="66">
        <f t="shared" si="0"/>
        <v>1.2987012987012988E-2</v>
      </c>
      <c r="G48" s="30"/>
      <c r="H48" s="48">
        <v>2.4</v>
      </c>
      <c r="I48" s="30">
        <f>AVERAGE(F233:F238)</f>
        <v>8.3114353031798344E-3</v>
      </c>
      <c r="J48" s="50">
        <v>2.4</v>
      </c>
      <c r="K48" s="30">
        <f>AVERAGE(F569:F574)</f>
        <v>1.1860152616717863E-2</v>
      </c>
      <c r="L48" s="50">
        <v>2.4</v>
      </c>
      <c r="M48" s="30">
        <f>AVERAGE(F905:F910)</f>
        <v>1.5774629924604416E-2</v>
      </c>
      <c r="N48" s="50">
        <v>2.4</v>
      </c>
      <c r="O48" s="30">
        <f>AVERAGE(F1241:F1246)</f>
        <v>2.3632152048037553E-2</v>
      </c>
      <c r="P48" s="50">
        <v>2.4</v>
      </c>
      <c r="Q48" s="53">
        <f>AVERAGE(F1577:F1582)</f>
        <v>3.1453424789117661E-2</v>
      </c>
      <c r="R48" s="3"/>
      <c r="S48" s="3"/>
    </row>
    <row r="49" spans="1:19" x14ac:dyDescent="0.25">
      <c r="A49" s="26">
        <v>0.5</v>
      </c>
      <c r="B49" s="26">
        <v>7</v>
      </c>
      <c r="C49" s="26">
        <v>1.8</v>
      </c>
      <c r="D49" s="26">
        <v>1.5</v>
      </c>
      <c r="E49" s="26">
        <v>116</v>
      </c>
      <c r="F49" s="66">
        <f t="shared" si="0"/>
        <v>1.2931034482758621E-2</v>
      </c>
      <c r="G49" s="30"/>
      <c r="H49" s="48">
        <v>2.6</v>
      </c>
      <c r="I49" s="30">
        <f>AVERAGE(F239:F244)</f>
        <v>8.1562897033446418E-3</v>
      </c>
      <c r="J49" s="50">
        <v>2.6</v>
      </c>
      <c r="K49" s="30">
        <f>AVERAGE(F575:F580)</f>
        <v>1.1627906976744186E-2</v>
      </c>
      <c r="L49" s="50">
        <v>2.6</v>
      </c>
      <c r="M49" s="30">
        <f>AVERAGE(F911:F916)</f>
        <v>1.5478904195097688E-2</v>
      </c>
      <c r="N49" s="50">
        <v>2.6</v>
      </c>
      <c r="O49" s="30">
        <f>AVERAGE(F1247:F1252)</f>
        <v>2.3119964302134848E-2</v>
      </c>
      <c r="P49" s="50">
        <v>2.6</v>
      </c>
      <c r="Q49" s="53">
        <f>AVERAGE(F1583:F1588)</f>
        <v>3.0945584708266759E-2</v>
      </c>
      <c r="R49" s="3"/>
      <c r="S49" s="3"/>
    </row>
    <row r="50" spans="1:19" x14ac:dyDescent="0.25">
      <c r="A50" s="26">
        <v>0.5</v>
      </c>
      <c r="B50" s="26">
        <v>7</v>
      </c>
      <c r="C50" s="26">
        <v>1.8</v>
      </c>
      <c r="D50" s="26">
        <v>2</v>
      </c>
      <c r="E50" s="26">
        <v>154</v>
      </c>
      <c r="F50" s="66">
        <f t="shared" si="0"/>
        <v>1.2987012987012988E-2</v>
      </c>
      <c r="G50" s="30"/>
      <c r="H50" s="48">
        <v>2.8</v>
      </c>
      <c r="I50" s="30">
        <f>AVERAGE(F245:F250)</f>
        <v>7.9837419646745997E-3</v>
      </c>
      <c r="J50" s="50">
        <v>2.8</v>
      </c>
      <c r="K50" s="30">
        <f>AVERAGE(F581:F586)</f>
        <v>1.1390308290016608E-2</v>
      </c>
      <c r="L50" s="50">
        <v>2.8</v>
      </c>
      <c r="M50" s="30">
        <f>AVERAGE(F917:F922)</f>
        <v>1.5199008310338004E-2</v>
      </c>
      <c r="N50" s="50">
        <v>2.8</v>
      </c>
      <c r="O50" s="30">
        <f>AVERAGE(F1253:F1258)</f>
        <v>2.2727272727272731E-2</v>
      </c>
      <c r="P50" s="50">
        <v>2.8</v>
      </c>
      <c r="Q50" s="53">
        <f>AVERAGE(F1589:F1594)</f>
        <v>3.0073556257114022E-2</v>
      </c>
      <c r="R50" s="3"/>
      <c r="S50" s="3"/>
    </row>
    <row r="51" spans="1:19" ht="15.75" thickBot="1" x14ac:dyDescent="0.3">
      <c r="A51" s="26">
        <v>0.5</v>
      </c>
      <c r="B51" s="26">
        <v>7</v>
      </c>
      <c r="C51" s="26">
        <v>1.8</v>
      </c>
      <c r="D51" s="26">
        <v>2.5</v>
      </c>
      <c r="E51" s="26">
        <v>193</v>
      </c>
      <c r="F51" s="66">
        <f t="shared" si="0"/>
        <v>1.2953367875647668E-2</v>
      </c>
      <c r="G51" s="30"/>
      <c r="H51" s="57">
        <v>3</v>
      </c>
      <c r="I51" s="68">
        <f>AVERAGE(F251:F256)</f>
        <v>7.8496824176302934E-3</v>
      </c>
      <c r="J51" s="59">
        <v>3</v>
      </c>
      <c r="K51" s="68">
        <f>AVERAGE(F587:F592)</f>
        <v>1.1186512093027316E-2</v>
      </c>
      <c r="L51" s="59">
        <v>3</v>
      </c>
      <c r="M51" s="68">
        <f>AVERAGE(F923:F928)</f>
        <v>1.4869073214232247E-2</v>
      </c>
      <c r="N51" s="59">
        <v>3</v>
      </c>
      <c r="O51" s="68">
        <f>AVERAGE(F1259:F1264)</f>
        <v>2.2419825506044693E-2</v>
      </c>
      <c r="P51" s="59">
        <v>3</v>
      </c>
      <c r="Q51" s="69">
        <f>AVERAGE(F1595:F1600)</f>
        <v>2.9591819240873039E-2</v>
      </c>
      <c r="R51" s="3"/>
      <c r="S51" s="3"/>
    </row>
    <row r="52" spans="1:19" x14ac:dyDescent="0.25">
      <c r="A52" s="26">
        <v>0.5</v>
      </c>
      <c r="B52" s="26">
        <v>7</v>
      </c>
      <c r="C52" s="26">
        <v>1.8</v>
      </c>
      <c r="D52" s="26">
        <v>3</v>
      </c>
      <c r="E52" s="26">
        <v>231</v>
      </c>
      <c r="F52" s="66">
        <f t="shared" si="0"/>
        <v>1.2987012987012988E-2</v>
      </c>
      <c r="G52" s="30" t="s">
        <v>31</v>
      </c>
      <c r="H52" s="67"/>
      <c r="I52" s="51">
        <v>0.5</v>
      </c>
      <c r="J52" s="50"/>
      <c r="K52" s="51">
        <v>5</v>
      </c>
      <c r="L52" s="61"/>
      <c r="M52" s="62">
        <v>10</v>
      </c>
      <c r="N52" s="61"/>
      <c r="O52" s="62">
        <v>15</v>
      </c>
      <c r="P52" s="61"/>
      <c r="Q52" s="63">
        <v>20</v>
      </c>
      <c r="R52" s="3"/>
      <c r="S52" s="3"/>
    </row>
    <row r="53" spans="1:19" x14ac:dyDescent="0.25">
      <c r="A53" s="26">
        <v>0.5</v>
      </c>
      <c r="B53" s="26">
        <v>7</v>
      </c>
      <c r="C53" s="26">
        <v>2</v>
      </c>
      <c r="D53" s="26">
        <v>0.5</v>
      </c>
      <c r="E53" s="26">
        <v>39</v>
      </c>
      <c r="F53" s="66">
        <f t="shared" si="0"/>
        <v>1.282051282051282E-2</v>
      </c>
      <c r="G53" s="30" t="s">
        <v>32</v>
      </c>
      <c r="H53" s="65"/>
      <c r="I53" s="32">
        <v>8.5</v>
      </c>
      <c r="J53" s="33"/>
      <c r="K53" s="32">
        <v>8.5</v>
      </c>
      <c r="L53" s="33"/>
      <c r="M53" s="32">
        <v>8.5</v>
      </c>
      <c r="N53" s="33"/>
      <c r="O53" s="32">
        <v>8.5</v>
      </c>
      <c r="P53" s="33"/>
      <c r="Q53" s="34">
        <v>8.5</v>
      </c>
      <c r="R53" s="3"/>
      <c r="S53" s="3"/>
    </row>
    <row r="54" spans="1:19" x14ac:dyDescent="0.25">
      <c r="A54" s="26">
        <v>0.5</v>
      </c>
      <c r="B54" s="26">
        <v>7</v>
      </c>
      <c r="C54" s="26">
        <v>2</v>
      </c>
      <c r="D54" s="26">
        <v>1</v>
      </c>
      <c r="E54" s="26">
        <v>79</v>
      </c>
      <c r="F54" s="66">
        <f t="shared" si="0"/>
        <v>1.2658227848101266E-2</v>
      </c>
      <c r="G54" s="30"/>
      <c r="H54" s="40">
        <v>0.4</v>
      </c>
      <c r="I54" s="30">
        <f>AVERAGE(F257:F262)</f>
        <v>9.1079626647878331E-3</v>
      </c>
      <c r="J54" s="42">
        <v>0.4</v>
      </c>
      <c r="K54" s="3">
        <f>AVERAGE(F593:F598)</f>
        <v>1.2721946385884558E-2</v>
      </c>
      <c r="L54" s="42">
        <v>0.4</v>
      </c>
      <c r="M54" s="30">
        <f>AVERAGE(F929:F934)</f>
        <v>1.6876658128324475E-2</v>
      </c>
      <c r="N54" s="42">
        <v>0.4</v>
      </c>
      <c r="O54" s="30">
        <f>AVERAGE(F1265:F1270)</f>
        <v>2.5385857174329913E-2</v>
      </c>
      <c r="P54" s="42">
        <v>0.4</v>
      </c>
      <c r="Q54" s="53">
        <f>AVERAGE(F1601:F1606)</f>
        <v>3.3564992339511476E-2</v>
      </c>
      <c r="R54" s="3"/>
      <c r="S54" s="3"/>
    </row>
    <row r="55" spans="1:19" x14ac:dyDescent="0.25">
      <c r="A55" s="26">
        <v>0.5</v>
      </c>
      <c r="B55" s="26">
        <v>7</v>
      </c>
      <c r="C55" s="26">
        <v>2</v>
      </c>
      <c r="D55" s="26">
        <v>1.5</v>
      </c>
      <c r="E55" s="26">
        <v>118</v>
      </c>
      <c r="F55" s="66">
        <f t="shared" si="0"/>
        <v>1.2711864406779662E-2</v>
      </c>
      <c r="G55" s="30"/>
      <c r="H55" s="48">
        <v>0.6</v>
      </c>
      <c r="I55" s="30">
        <f>AVERAGE(F263:F268)</f>
        <v>8.771929824561403E-3</v>
      </c>
      <c r="J55" s="50">
        <v>0.6</v>
      </c>
      <c r="K55" s="3">
        <f>AVERAGE(F599:F604)</f>
        <v>1.2286029080709792E-2</v>
      </c>
      <c r="L55" s="50">
        <v>0.6</v>
      </c>
      <c r="M55" s="30">
        <f>AVERAGE(F935:F940)</f>
        <v>1.6325596205674951E-2</v>
      </c>
      <c r="N55" s="50">
        <v>0.6</v>
      </c>
      <c r="O55" s="30">
        <f>AVERAGE(F1271:F1276)</f>
        <v>2.4628622286258579E-2</v>
      </c>
      <c r="P55" s="50">
        <v>0.6</v>
      </c>
      <c r="Q55" s="53">
        <f>AVERAGE(F1607:F1612)</f>
        <v>3.2677201144540716E-2</v>
      </c>
      <c r="R55" s="3"/>
      <c r="S55" s="3"/>
    </row>
    <row r="56" spans="1:19" x14ac:dyDescent="0.25">
      <c r="A56" s="26">
        <v>0.5</v>
      </c>
      <c r="B56" s="26">
        <v>7</v>
      </c>
      <c r="C56" s="26">
        <v>2</v>
      </c>
      <c r="D56" s="26">
        <v>2</v>
      </c>
      <c r="E56" s="26">
        <v>157</v>
      </c>
      <c r="F56" s="66">
        <f t="shared" si="0"/>
        <v>1.2738853503184714E-2</v>
      </c>
      <c r="G56" s="30"/>
      <c r="H56" s="48">
        <v>0.8</v>
      </c>
      <c r="I56" s="30">
        <f>AVERAGE(F269:F274)</f>
        <v>8.4745762711864406E-3</v>
      </c>
      <c r="J56" s="50">
        <v>0.8</v>
      </c>
      <c r="K56" s="3">
        <f>AVERAGE(F605:F610)</f>
        <v>1.1904761904761904E-2</v>
      </c>
      <c r="L56" s="50">
        <v>0.8</v>
      </c>
      <c r="M56" s="30">
        <f>AVERAGE(F941:F946)</f>
        <v>1.5809384352230785E-2</v>
      </c>
      <c r="N56" s="50">
        <v>0.8</v>
      </c>
      <c r="O56" s="30">
        <f>AVERAGE(F1277:F1282)</f>
        <v>2.3809523809523808E-2</v>
      </c>
      <c r="P56" s="50">
        <v>0.8</v>
      </c>
      <c r="Q56" s="53">
        <f>AVERAGE(F1613:F1618)</f>
        <v>3.1453424789117661E-2</v>
      </c>
      <c r="R56" s="3"/>
      <c r="S56" s="3"/>
    </row>
    <row r="57" spans="1:19" x14ac:dyDescent="0.25">
      <c r="A57" s="26">
        <v>0.5</v>
      </c>
      <c r="B57" s="26">
        <v>7</v>
      </c>
      <c r="C57" s="26">
        <v>2</v>
      </c>
      <c r="D57" s="26">
        <v>2.5</v>
      </c>
      <c r="E57" s="26">
        <v>197</v>
      </c>
      <c r="F57" s="66">
        <f t="shared" si="0"/>
        <v>1.2690355329949238E-2</v>
      </c>
      <c r="G57" s="30"/>
      <c r="H57" s="48">
        <v>1</v>
      </c>
      <c r="I57" s="30">
        <f>AVERAGE(F275:F280)</f>
        <v>8.2105798170069074E-3</v>
      </c>
      <c r="J57" s="50">
        <v>1</v>
      </c>
      <c r="K57" s="30">
        <f>AVERAGE(F611:F616)</f>
        <v>1.154675231600632E-2</v>
      </c>
      <c r="L57" s="50">
        <v>1</v>
      </c>
      <c r="M57" s="30">
        <f>AVERAGE(F947:F952)</f>
        <v>1.5324817844537389E-2</v>
      </c>
      <c r="N57" s="50">
        <v>1</v>
      </c>
      <c r="O57" s="30">
        <f>AVERAGE(F1283:F1288)</f>
        <v>2.3045597788313638E-2</v>
      </c>
      <c r="P57" s="50">
        <v>1</v>
      </c>
      <c r="Q57" s="53">
        <f>AVERAGE(F1619:F1624)</f>
        <v>3.0672425957704707E-2</v>
      </c>
      <c r="R57" s="3"/>
      <c r="S57" s="3"/>
    </row>
    <row r="58" spans="1:19" x14ac:dyDescent="0.25">
      <c r="A58" s="26">
        <v>0.5</v>
      </c>
      <c r="B58" s="26">
        <v>7</v>
      </c>
      <c r="C58" s="26">
        <v>2</v>
      </c>
      <c r="D58" s="26">
        <v>3</v>
      </c>
      <c r="E58" s="26">
        <v>236</v>
      </c>
      <c r="F58" s="66">
        <f t="shared" si="0"/>
        <v>1.2711864406779662E-2</v>
      </c>
      <c r="G58" s="30"/>
      <c r="H58" s="48">
        <v>1.2</v>
      </c>
      <c r="I58" s="30">
        <f>AVERAGE(F281:F286)</f>
        <v>7.9748837803904592E-3</v>
      </c>
      <c r="J58" s="50">
        <v>1.2</v>
      </c>
      <c r="K58" s="30">
        <f>AVERAGE(F617:F622)</f>
        <v>1.1203961410372545E-2</v>
      </c>
      <c r="L58" s="50">
        <v>1.2</v>
      </c>
      <c r="M58" s="30">
        <f>AVERAGE(F953:F958)</f>
        <v>1.5014090358507572E-2</v>
      </c>
      <c r="N58" s="50">
        <v>1.2</v>
      </c>
      <c r="O58" s="30">
        <f>AVERAGE(F1289:F1294)</f>
        <v>2.2419825506044693E-2</v>
      </c>
      <c r="P58" s="50">
        <v>1.2</v>
      </c>
      <c r="Q58" s="53">
        <f>AVERAGE(F1625:F1630)</f>
        <v>2.9947670534213374E-2</v>
      </c>
      <c r="R58" s="3"/>
      <c r="S58" s="3"/>
    </row>
    <row r="59" spans="1:19" x14ac:dyDescent="0.25">
      <c r="A59" s="26">
        <v>0.5</v>
      </c>
      <c r="B59" s="26">
        <v>7</v>
      </c>
      <c r="C59" s="26">
        <v>2.2000000000000002</v>
      </c>
      <c r="D59" s="26">
        <v>0.5</v>
      </c>
      <c r="E59" s="26">
        <v>40</v>
      </c>
      <c r="F59" s="66">
        <f t="shared" si="0"/>
        <v>1.2500000000000001E-2</v>
      </c>
      <c r="G59" s="30"/>
      <c r="H59" s="48">
        <v>1.4</v>
      </c>
      <c r="I59" s="30">
        <f>AVERAGE(F287:F292)</f>
        <v>7.7366697481963363E-3</v>
      </c>
      <c r="J59" s="50">
        <v>1.4</v>
      </c>
      <c r="K59" s="30">
        <f>AVERAGE(F623:F628)</f>
        <v>1.0941710075786005E-2</v>
      </c>
      <c r="L59" s="50">
        <v>1.4</v>
      </c>
      <c r="M59" s="30">
        <f>AVERAGE(F959:F964)</f>
        <v>1.4576378905879706E-2</v>
      </c>
      <c r="N59" s="50">
        <v>1.4</v>
      </c>
      <c r="O59" s="30">
        <f>AVERAGE(F1295:F1300)</f>
        <v>2.1837174677125235E-2</v>
      </c>
      <c r="P59" s="50">
        <v>1.4</v>
      </c>
      <c r="Q59" s="53">
        <f>AVERAGE(F1631:F1636)</f>
        <v>2.914186192306481E-2</v>
      </c>
      <c r="R59" s="3"/>
      <c r="S59" s="3"/>
    </row>
    <row r="60" spans="1:19" x14ac:dyDescent="0.25">
      <c r="A60" s="26">
        <v>0.5</v>
      </c>
      <c r="B60" s="26">
        <v>7</v>
      </c>
      <c r="C60" s="26">
        <v>2.2000000000000002</v>
      </c>
      <c r="D60" s="26">
        <v>1</v>
      </c>
      <c r="E60" s="26">
        <v>81</v>
      </c>
      <c r="F60" s="66">
        <f t="shared" si="0"/>
        <v>1.2345679012345678E-2</v>
      </c>
      <c r="G60" s="30"/>
      <c r="H60" s="48">
        <v>1.6</v>
      </c>
      <c r="I60" s="30">
        <f>AVERAGE(F293:F298)</f>
        <v>7.5576530931089486E-3</v>
      </c>
      <c r="J60" s="50">
        <v>1.6</v>
      </c>
      <c r="K60" s="30">
        <f>AVERAGE(F629:F634)</f>
        <v>1.0661666341697873E-2</v>
      </c>
      <c r="L60" s="50">
        <v>1.6</v>
      </c>
      <c r="M60" s="30">
        <f>AVERAGE(F965:F970)</f>
        <v>1.4221554010665665E-2</v>
      </c>
      <c r="N60" s="50">
        <v>1.6</v>
      </c>
      <c r="O60" s="30">
        <f>AVERAGE(F1301:F1306)</f>
        <v>2.1162720301453709E-2</v>
      </c>
      <c r="P60" s="50">
        <v>1.6</v>
      </c>
      <c r="Q60" s="53">
        <f>AVERAGE(F1637:F1642)</f>
        <v>2.8367173532267868E-2</v>
      </c>
      <c r="R60" s="3"/>
      <c r="S60" s="3"/>
    </row>
    <row r="61" spans="1:19" x14ac:dyDescent="0.25">
      <c r="A61" s="26">
        <v>0.5</v>
      </c>
      <c r="B61" s="26">
        <v>7</v>
      </c>
      <c r="C61" s="26">
        <v>2.2000000000000002</v>
      </c>
      <c r="D61" s="26">
        <v>1.5</v>
      </c>
      <c r="E61" s="26">
        <v>121</v>
      </c>
      <c r="F61" s="66">
        <f t="shared" si="0"/>
        <v>1.2396694214876033E-2</v>
      </c>
      <c r="G61" s="30"/>
      <c r="H61" s="48">
        <v>1.8</v>
      </c>
      <c r="I61" s="30">
        <f>AVERAGE(F299:F304)</f>
        <v>7.3640893282656194E-3</v>
      </c>
      <c r="J61" s="50">
        <v>1.8</v>
      </c>
      <c r="K61" s="30">
        <f>AVERAGE(F635:F640)</f>
        <v>1.0439069484496773E-2</v>
      </c>
      <c r="L61" s="50">
        <v>1.8</v>
      </c>
      <c r="M61" s="30">
        <f>AVERAGE(F971:F976)</f>
        <v>1.3928774911950175E-2</v>
      </c>
      <c r="N61" s="50">
        <v>1.8</v>
      </c>
      <c r="O61" s="30">
        <f>AVERAGE(F1307:F1312)</f>
        <v>2.0945340501792115E-2</v>
      </c>
      <c r="P61" s="50">
        <v>1.8</v>
      </c>
      <c r="Q61" s="53">
        <f>AVERAGE(F1643:F1648)</f>
        <v>2.777777777777778E-2</v>
      </c>
      <c r="R61" s="3"/>
      <c r="S61" s="3"/>
    </row>
    <row r="62" spans="1:19" x14ac:dyDescent="0.25">
      <c r="A62" s="26">
        <v>0.5</v>
      </c>
      <c r="B62" s="26">
        <v>7</v>
      </c>
      <c r="C62" s="26">
        <v>2.2000000000000002</v>
      </c>
      <c r="D62" s="26">
        <v>2</v>
      </c>
      <c r="E62" s="26">
        <v>161</v>
      </c>
      <c r="F62" s="66">
        <f t="shared" si="0"/>
        <v>1.2422360248447204E-2</v>
      </c>
      <c r="G62" s="30"/>
      <c r="H62" s="48">
        <v>2</v>
      </c>
      <c r="I62" s="30">
        <f>AVERAGE(F305:F310)</f>
        <v>7.1810887491011261E-3</v>
      </c>
      <c r="J62" s="50">
        <v>2</v>
      </c>
      <c r="K62" s="30">
        <f>AVERAGE(F641:F646)</f>
        <v>1.020408163265306E-2</v>
      </c>
      <c r="L62" s="50">
        <v>2</v>
      </c>
      <c r="M62" s="30">
        <f>AVERAGE(F977:F982)</f>
        <v>1.3551266645439097E-2</v>
      </c>
      <c r="N62" s="50">
        <v>2</v>
      </c>
      <c r="O62" s="30">
        <f>AVERAGE(F1313:F1318)</f>
        <v>2.0303327219703526E-2</v>
      </c>
      <c r="P62" s="50">
        <v>2</v>
      </c>
      <c r="Q62" s="53">
        <f>AVERAGE(F1649:F1654)</f>
        <v>2.7320238777951703E-2</v>
      </c>
      <c r="R62" s="3"/>
      <c r="S62" s="3"/>
    </row>
    <row r="63" spans="1:19" x14ac:dyDescent="0.25">
      <c r="A63" s="26">
        <v>0.5</v>
      </c>
      <c r="B63" s="26">
        <v>7</v>
      </c>
      <c r="C63" s="26">
        <v>2.2000000000000002</v>
      </c>
      <c r="D63" s="26">
        <v>2.5</v>
      </c>
      <c r="E63" s="26">
        <v>202</v>
      </c>
      <c r="F63" s="66">
        <f t="shared" si="0"/>
        <v>1.2376237623762377E-2</v>
      </c>
      <c r="G63" s="30"/>
      <c r="H63" s="48">
        <v>2.2000000000000002</v>
      </c>
      <c r="I63" s="30">
        <f>AVERAGE(F311:F316)</f>
        <v>7.0422535211267607E-3</v>
      </c>
      <c r="J63" s="50">
        <v>2.2000000000000002</v>
      </c>
      <c r="K63" s="30">
        <f>AVERAGE(F647:F652)</f>
        <v>0.01</v>
      </c>
      <c r="L63" s="50">
        <v>2.2000000000000002</v>
      </c>
      <c r="M63" s="30">
        <f>AVERAGE(F983:F988)</f>
        <v>1.3288350560075581E-2</v>
      </c>
      <c r="N63" s="50">
        <v>2.2000000000000002</v>
      </c>
      <c r="O63" s="30">
        <f>AVERAGE(F1319:F1324)</f>
        <v>0.02</v>
      </c>
      <c r="P63" s="50">
        <v>2.2000000000000002</v>
      </c>
      <c r="Q63" s="53">
        <f>AVERAGE(F1655:F1660)</f>
        <v>2.6459742055823677E-2</v>
      </c>
      <c r="R63" s="3"/>
      <c r="S63" s="3"/>
    </row>
    <row r="64" spans="1:19" x14ac:dyDescent="0.25">
      <c r="A64" s="26">
        <v>0.5</v>
      </c>
      <c r="B64" s="26">
        <v>7</v>
      </c>
      <c r="C64" s="26">
        <v>2.2000000000000002</v>
      </c>
      <c r="D64" s="26">
        <v>3</v>
      </c>
      <c r="E64" s="26">
        <v>242</v>
      </c>
      <c r="F64" s="66">
        <f t="shared" si="0"/>
        <v>1.2396694214876033E-2</v>
      </c>
      <c r="G64" s="30"/>
      <c r="H64" s="48">
        <v>2.4</v>
      </c>
      <c r="I64" s="30">
        <f>AVERAGE(F317:F322)</f>
        <v>6.8844594212431444E-3</v>
      </c>
      <c r="J64" s="50">
        <v>2.4</v>
      </c>
      <c r="K64" s="30">
        <f>AVERAGE(F653:F658)</f>
        <v>9.8039215686274508E-3</v>
      </c>
      <c r="L64" s="50">
        <v>2.4</v>
      </c>
      <c r="M64" s="30">
        <f>AVERAGE(F989:F994)</f>
        <v>1.3054098833960692E-2</v>
      </c>
      <c r="N64" s="50">
        <v>2.4</v>
      </c>
      <c r="O64" s="30">
        <f>AVERAGE(F1325:F1330)</f>
        <v>1.9511011353842235E-2</v>
      </c>
      <c r="P64" s="50">
        <v>2.4</v>
      </c>
      <c r="Q64" s="53">
        <f>AVERAGE(F1661:F1666)</f>
        <v>2.5550490116497061E-2</v>
      </c>
      <c r="R64" s="3"/>
      <c r="S64" s="3"/>
    </row>
    <row r="65" spans="1:19" x14ac:dyDescent="0.25">
      <c r="A65" s="26">
        <v>0.5</v>
      </c>
      <c r="B65" s="26">
        <v>7</v>
      </c>
      <c r="C65" s="26">
        <v>2.4</v>
      </c>
      <c r="D65" s="26">
        <v>0.5</v>
      </c>
      <c r="E65" s="26">
        <v>41</v>
      </c>
      <c r="F65" s="66">
        <f t="shared" si="0"/>
        <v>1.2195121951219513E-2</v>
      </c>
      <c r="G65" s="30"/>
      <c r="H65" s="48">
        <v>2.6</v>
      </c>
      <c r="I65" s="30">
        <f>AVERAGE(F323:F328)</f>
        <v>6.7567567567567571E-3</v>
      </c>
      <c r="J65" s="50">
        <v>2.6</v>
      </c>
      <c r="K65" s="30">
        <f>AVERAGE(F659:F664)</f>
        <v>9.6153846153846159E-3</v>
      </c>
      <c r="L65" s="50">
        <v>2.6</v>
      </c>
      <c r="M65" s="30">
        <f>AVERAGE(F995:F1000)</f>
        <v>1.2820512820512818E-2</v>
      </c>
      <c r="N65" s="50">
        <v>2.6</v>
      </c>
      <c r="O65" s="30">
        <f>AVERAGE(F1331:F1336)</f>
        <v>1.9230769230769232E-2</v>
      </c>
      <c r="P65" s="50">
        <v>2.6</v>
      </c>
      <c r="Q65" s="53">
        <f>AVERAGE(F1667:F1672)</f>
        <v>2.5476168303044815E-2</v>
      </c>
      <c r="R65" s="3"/>
      <c r="S65" s="3"/>
    </row>
    <row r="66" spans="1:19" x14ac:dyDescent="0.25">
      <c r="A66" s="26">
        <v>0.5</v>
      </c>
      <c r="B66" s="26">
        <v>7</v>
      </c>
      <c r="C66" s="26">
        <v>2.4</v>
      </c>
      <c r="D66" s="26">
        <v>1</v>
      </c>
      <c r="E66" s="26">
        <v>82</v>
      </c>
      <c r="F66" s="66">
        <f t="shared" si="0"/>
        <v>1.2195121951219513E-2</v>
      </c>
      <c r="G66" s="30"/>
      <c r="H66" s="48">
        <v>2.8</v>
      </c>
      <c r="I66" s="30">
        <f>AVERAGE(F329:F334)</f>
        <v>6.6398895855528592E-3</v>
      </c>
      <c r="J66" s="50">
        <v>2.8</v>
      </c>
      <c r="K66" s="30">
        <f>AVERAGE(F665:F670)</f>
        <v>9.433962264150943E-3</v>
      </c>
      <c r="L66" s="50">
        <v>2.8</v>
      </c>
      <c r="M66" s="30">
        <f>AVERAGE(F1001:F1006)</f>
        <v>1.2532288612963858E-2</v>
      </c>
      <c r="N66" s="50">
        <v>2.8</v>
      </c>
      <c r="O66" s="30">
        <f>AVERAGE(F1337:F1342)</f>
        <v>1.8778214097437861E-2</v>
      </c>
      <c r="P66" s="50">
        <v>2.8</v>
      </c>
      <c r="Q66" s="53">
        <f>AVERAGE(F1673:F1678)</f>
        <v>2.5129844163723537E-2</v>
      </c>
      <c r="R66" s="3"/>
      <c r="S66" s="3"/>
    </row>
    <row r="67" spans="1:19" ht="15.75" thickBot="1" x14ac:dyDescent="0.3">
      <c r="A67" s="26">
        <v>0.5</v>
      </c>
      <c r="B67" s="26">
        <v>7</v>
      </c>
      <c r="C67" s="26">
        <v>2.4</v>
      </c>
      <c r="D67" s="26">
        <v>1.5</v>
      </c>
      <c r="E67" s="26">
        <v>124</v>
      </c>
      <c r="F67" s="66">
        <f t="shared" si="0"/>
        <v>1.2096774193548387E-2</v>
      </c>
      <c r="G67" s="30"/>
      <c r="H67" s="57">
        <v>3</v>
      </c>
      <c r="I67" s="68">
        <f>AVERAGE(F335:F340)</f>
        <v>6.5191675984755853E-3</v>
      </c>
      <c r="J67" s="59">
        <v>3</v>
      </c>
      <c r="K67" s="68">
        <f>AVERAGE(F671:F676)</f>
        <v>9.2592592592592587E-3</v>
      </c>
      <c r="L67" s="59">
        <v>3</v>
      </c>
      <c r="M67" s="68">
        <f>AVERAGE(F1007:F1012)</f>
        <v>1.2307085315238374E-2</v>
      </c>
      <c r="N67" s="59">
        <v>3</v>
      </c>
      <c r="O67" s="68">
        <f>AVERAGE(F1343:F1348)</f>
        <v>1.8518518518518517E-2</v>
      </c>
      <c r="P67" s="59">
        <v>3</v>
      </c>
      <c r="Q67" s="69">
        <f>AVERAGE(F1679:F1684)</f>
        <v>2.4628622286258579E-2</v>
      </c>
      <c r="R67" s="3"/>
      <c r="S67" s="3"/>
    </row>
    <row r="68" spans="1:19" x14ac:dyDescent="0.25">
      <c r="A68" s="26">
        <v>0.5</v>
      </c>
      <c r="B68" s="26">
        <v>7</v>
      </c>
      <c r="C68" s="26">
        <v>2.4</v>
      </c>
      <c r="D68" s="26">
        <v>2</v>
      </c>
      <c r="E68" s="26">
        <v>165</v>
      </c>
      <c r="F68" s="66">
        <f t="shared" si="0"/>
        <v>1.2121212121212121E-2</v>
      </c>
      <c r="G68" s="30" t="s">
        <v>31</v>
      </c>
      <c r="H68" s="67"/>
      <c r="I68" s="51">
        <v>0.5</v>
      </c>
      <c r="J68" s="50"/>
      <c r="K68" s="51">
        <v>5</v>
      </c>
      <c r="L68" s="50"/>
      <c r="M68" s="62">
        <v>10</v>
      </c>
      <c r="N68" s="50"/>
      <c r="O68" s="62">
        <v>15</v>
      </c>
      <c r="P68" s="50"/>
      <c r="Q68" s="63">
        <v>20</v>
      </c>
      <c r="R68" s="3"/>
      <c r="S68" s="3"/>
    </row>
    <row r="69" spans="1:19" x14ac:dyDescent="0.25">
      <c r="A69" s="26">
        <v>0.5</v>
      </c>
      <c r="B69" s="26">
        <v>7</v>
      </c>
      <c r="C69" s="26">
        <v>2.4</v>
      </c>
      <c r="D69" s="26">
        <v>2.5</v>
      </c>
      <c r="E69" s="26">
        <v>206</v>
      </c>
      <c r="F69" s="66">
        <f t="shared" ref="F69:F132" si="6">D69/E69</f>
        <v>1.2135922330097087E-2</v>
      </c>
      <c r="G69" s="30" t="s">
        <v>32</v>
      </c>
      <c r="H69" s="31"/>
      <c r="I69" s="32">
        <v>9</v>
      </c>
      <c r="J69" s="33"/>
      <c r="K69" s="32">
        <v>9</v>
      </c>
      <c r="L69" s="33"/>
      <c r="M69" s="32">
        <v>9</v>
      </c>
      <c r="N69" s="33"/>
      <c r="O69" s="32">
        <v>9</v>
      </c>
      <c r="P69" s="33"/>
      <c r="Q69" s="34">
        <v>9</v>
      </c>
      <c r="R69" s="3"/>
      <c r="S69" s="3"/>
    </row>
    <row r="70" spans="1:19" x14ac:dyDescent="0.25">
      <c r="A70" s="26">
        <v>0.5</v>
      </c>
      <c r="B70" s="26">
        <v>7</v>
      </c>
      <c r="C70" s="26">
        <v>2.4</v>
      </c>
      <c r="D70" s="26">
        <v>3</v>
      </c>
      <c r="E70" s="26">
        <v>247</v>
      </c>
      <c r="F70" s="66">
        <f t="shared" si="6"/>
        <v>1.2145748987854251E-2</v>
      </c>
      <c r="G70" s="30"/>
      <c r="H70" s="40">
        <v>0.4</v>
      </c>
      <c r="I70" s="30">
        <f>AVERAGE(F1687:F1692)</f>
        <v>7.6923076923076927E-3</v>
      </c>
      <c r="J70" s="42">
        <v>0.4</v>
      </c>
      <c r="K70" s="30">
        <f>AVERAGE(F1772:F1777)</f>
        <v>1.0723376972776791E-2</v>
      </c>
      <c r="L70" s="42">
        <v>0.4</v>
      </c>
      <c r="M70" s="30">
        <f>AVERAGE(F1857:F1862)</f>
        <v>1.4327919190562652E-2</v>
      </c>
      <c r="N70" s="42">
        <v>0.4</v>
      </c>
      <c r="O70" s="30">
        <f>AVERAGE(F1942:F1947)</f>
        <v>2.1457627791368953E-2</v>
      </c>
      <c r="P70" s="42">
        <v>0.4</v>
      </c>
      <c r="Q70" s="70">
        <f>AVERAGE(F2027:F2032)</f>
        <v>2.8367173532267868E-2</v>
      </c>
      <c r="R70" s="3"/>
      <c r="S70" s="3"/>
    </row>
    <row r="71" spans="1:19" x14ac:dyDescent="0.25">
      <c r="A71" s="26">
        <v>0.5</v>
      </c>
      <c r="B71" s="26">
        <v>7</v>
      </c>
      <c r="C71" s="26">
        <v>2.6</v>
      </c>
      <c r="D71" s="26">
        <v>0.5</v>
      </c>
      <c r="E71" s="26">
        <v>42</v>
      </c>
      <c r="F71" s="66">
        <f t="shared" si="6"/>
        <v>1.1904761904761904E-2</v>
      </c>
      <c r="G71" s="30"/>
      <c r="H71" s="48">
        <v>0.6</v>
      </c>
      <c r="I71" s="30">
        <f>AVERAGE(F1693:F1698)</f>
        <v>7.3640893282656194E-3</v>
      </c>
      <c r="J71" s="50">
        <v>0.6</v>
      </c>
      <c r="K71" s="30">
        <f>AVERAGE(F1778:F1783)</f>
        <v>1.028232585509343E-2</v>
      </c>
      <c r="L71" s="50">
        <v>0.6</v>
      </c>
      <c r="M71" s="30">
        <f>AVERAGE(F1863:F1868)</f>
        <v>1.3773303665038551E-2</v>
      </c>
      <c r="N71" s="50">
        <v>0.6</v>
      </c>
      <c r="O71" s="30">
        <f>AVERAGE(F1948:F1953)</f>
        <v>2.0574624498219635E-2</v>
      </c>
      <c r="P71" s="50">
        <v>0.6</v>
      </c>
      <c r="Q71" s="70">
        <f>AVERAGE(F2033:F2038)</f>
        <v>2.7536834392433235E-2</v>
      </c>
      <c r="R71" s="3"/>
      <c r="S71" s="3"/>
    </row>
    <row r="72" spans="1:19" x14ac:dyDescent="0.25">
      <c r="A72" s="26">
        <v>0.5</v>
      </c>
      <c r="B72" s="26">
        <v>7</v>
      </c>
      <c r="C72" s="26">
        <v>2.6</v>
      </c>
      <c r="D72" s="26">
        <v>1</v>
      </c>
      <c r="E72" s="26">
        <v>84</v>
      </c>
      <c r="F72" s="66">
        <f t="shared" si="6"/>
        <v>1.1904761904761904E-2</v>
      </c>
      <c r="G72" s="30"/>
      <c r="H72" s="48">
        <v>0.8</v>
      </c>
      <c r="I72" s="30">
        <f>AVERAGE(F1699:F1704)</f>
        <v>7.1121292754638445E-3</v>
      </c>
      <c r="J72" s="50">
        <v>0.8</v>
      </c>
      <c r="K72" s="30">
        <f>AVERAGE(F1784:F1789)</f>
        <v>9.9684933936406098E-3</v>
      </c>
      <c r="L72" s="50">
        <v>0.8</v>
      </c>
      <c r="M72" s="30">
        <f>AVERAGE(F1869:F1874)</f>
        <v>1.3263801014925905E-2</v>
      </c>
      <c r="N72" s="50">
        <v>0.8</v>
      </c>
      <c r="O72" s="30">
        <f>AVERAGE(F1954:F1959)</f>
        <v>1.9874606968904498E-2</v>
      </c>
      <c r="P72" s="50">
        <v>0.8</v>
      </c>
      <c r="Q72" s="70">
        <f>AVERAGE(F2039:F2044)</f>
        <v>2.6459742055823677E-2</v>
      </c>
      <c r="R72" s="3"/>
      <c r="S72" s="3"/>
    </row>
    <row r="73" spans="1:19" x14ac:dyDescent="0.25">
      <c r="A73" s="26">
        <v>0.5</v>
      </c>
      <c r="B73" s="26">
        <v>7</v>
      </c>
      <c r="C73" s="26">
        <v>2.6</v>
      </c>
      <c r="D73" s="26">
        <v>1.5</v>
      </c>
      <c r="E73" s="26">
        <v>126</v>
      </c>
      <c r="F73" s="66">
        <f t="shared" si="6"/>
        <v>1.1904761904761904E-2</v>
      </c>
      <c r="G73" s="30"/>
      <c r="H73" s="48">
        <v>1</v>
      </c>
      <c r="I73" s="30">
        <f>AVERAGE(F1705:F1710)</f>
        <v>6.8589863109401157E-3</v>
      </c>
      <c r="J73" s="50">
        <v>1</v>
      </c>
      <c r="K73" s="30">
        <f>AVERAGE(F1790:F1795)</f>
        <v>9.6153846153846159E-3</v>
      </c>
      <c r="L73" s="50">
        <v>1</v>
      </c>
      <c r="M73" s="30">
        <f>AVERAGE(F1875:F1880)</f>
        <v>1.2820512820512818E-2</v>
      </c>
      <c r="N73" s="50">
        <v>1</v>
      </c>
      <c r="O73" s="30">
        <f>AVERAGE(F1960:F1965)</f>
        <v>1.9230769230769232E-2</v>
      </c>
      <c r="P73" s="50">
        <v>1</v>
      </c>
      <c r="Q73" s="70">
        <f>AVERAGE(F2045:F2050)</f>
        <v>2.5476168303044815E-2</v>
      </c>
      <c r="R73" s="3"/>
      <c r="S73" s="3"/>
    </row>
    <row r="74" spans="1:19" x14ac:dyDescent="0.25">
      <c r="A74" s="26">
        <v>0.5</v>
      </c>
      <c r="B74" s="26">
        <v>7</v>
      </c>
      <c r="C74" s="26">
        <v>2.6</v>
      </c>
      <c r="D74" s="26">
        <v>2</v>
      </c>
      <c r="E74" s="26">
        <v>168</v>
      </c>
      <c r="F74" s="66">
        <f t="shared" si="6"/>
        <v>1.1904761904761904E-2</v>
      </c>
      <c r="G74" s="30"/>
      <c r="H74" s="48">
        <v>1.2</v>
      </c>
      <c r="I74" s="30">
        <f>AVERAGE(F1711:F1716)</f>
        <v>6.6526401030382433E-3</v>
      </c>
      <c r="J74" s="50">
        <v>1.2</v>
      </c>
      <c r="K74" s="30">
        <f>AVERAGE(F1796:F1801)</f>
        <v>9.3804539830544126E-3</v>
      </c>
      <c r="L74" s="50">
        <v>1.2</v>
      </c>
      <c r="M74" s="30">
        <f>AVERAGE(F1881:F1886)</f>
        <v>1.2499999999999999E-2</v>
      </c>
      <c r="N74" s="50">
        <v>1.2</v>
      </c>
      <c r="O74" s="30">
        <f>AVERAGE(F1966:F1971)</f>
        <v>1.8729170718845025E-2</v>
      </c>
      <c r="P74" s="50">
        <v>1.2</v>
      </c>
      <c r="Q74" s="70">
        <f>AVERAGE(F2051:F2056)</f>
        <v>2.4999999999999998E-2</v>
      </c>
      <c r="R74" s="3"/>
      <c r="S74" s="3"/>
    </row>
    <row r="75" spans="1:19" x14ac:dyDescent="0.25">
      <c r="A75" s="26">
        <v>0.5</v>
      </c>
      <c r="B75" s="26">
        <v>7</v>
      </c>
      <c r="C75" s="26">
        <v>2.6</v>
      </c>
      <c r="D75" s="26">
        <v>2.5</v>
      </c>
      <c r="E75" s="26">
        <v>210</v>
      </c>
      <c r="F75" s="66">
        <f t="shared" si="6"/>
        <v>1.1904761904761904E-2</v>
      </c>
      <c r="G75" s="30"/>
      <c r="H75" s="48">
        <v>1.4</v>
      </c>
      <c r="I75" s="30">
        <f>AVERAGE(F1717:F1722)</f>
        <v>6.4680990182149111E-3</v>
      </c>
      <c r="J75" s="50">
        <v>1.4</v>
      </c>
      <c r="K75" s="30">
        <f>AVERAGE(F1802:F1807)</f>
        <v>9.1079626647878331E-3</v>
      </c>
      <c r="L75" s="50">
        <v>1.4</v>
      </c>
      <c r="M75" s="30">
        <f>AVERAGE(F1887:F1892)</f>
        <v>1.2148316922525146E-2</v>
      </c>
      <c r="N75" s="50">
        <v>1.4</v>
      </c>
      <c r="O75" s="30">
        <f>AVERAGE(F1972:F1977)</f>
        <v>1.8098471431368238E-2</v>
      </c>
      <c r="P75" s="50">
        <v>1.4</v>
      </c>
      <c r="Q75" s="70">
        <f>AVERAGE(F2057:F2062)</f>
        <v>2.4240941427355306E-2</v>
      </c>
      <c r="R75" s="3"/>
      <c r="S75" s="3"/>
    </row>
    <row r="76" spans="1:19" x14ac:dyDescent="0.25">
      <c r="A76" s="26">
        <v>0.5</v>
      </c>
      <c r="B76" s="26">
        <v>7</v>
      </c>
      <c r="C76" s="26">
        <v>2.6</v>
      </c>
      <c r="D76" s="26">
        <v>3</v>
      </c>
      <c r="E76" s="26">
        <v>252</v>
      </c>
      <c r="F76" s="66">
        <f t="shared" si="6"/>
        <v>1.1904761904761904E-2</v>
      </c>
      <c r="G76" s="30"/>
      <c r="H76" s="48">
        <v>1.6</v>
      </c>
      <c r="I76" s="30">
        <f>AVERAGE(F1723:F1728)</f>
        <v>6.2792470318488039E-3</v>
      </c>
      <c r="J76" s="50">
        <v>1.6</v>
      </c>
      <c r="K76" s="30">
        <f>AVERAGE(F1808:F1813)</f>
        <v>8.9034409492270636E-3</v>
      </c>
      <c r="L76" s="50">
        <v>1.6</v>
      </c>
      <c r="M76" s="30">
        <f>AVERAGE(F1893:F1898)</f>
        <v>1.1860152616717863E-2</v>
      </c>
      <c r="N76" s="50">
        <v>1.6</v>
      </c>
      <c r="O76" s="30">
        <f>AVERAGE(F1978:F1983)</f>
        <v>1.775707255431741E-2</v>
      </c>
      <c r="P76" s="50">
        <v>1.6</v>
      </c>
      <c r="Q76" s="70">
        <f>AVERAGE(F2063:F2068)</f>
        <v>2.3809523809523808E-2</v>
      </c>
      <c r="R76" s="3"/>
      <c r="S76" s="3"/>
    </row>
    <row r="77" spans="1:19" x14ac:dyDescent="0.25">
      <c r="A77" s="26">
        <v>0.5</v>
      </c>
      <c r="B77" s="26">
        <v>7</v>
      </c>
      <c r="C77" s="26">
        <v>2.8</v>
      </c>
      <c r="D77" s="26">
        <v>0.5</v>
      </c>
      <c r="E77" s="26">
        <v>43</v>
      </c>
      <c r="F77" s="66">
        <f t="shared" si="6"/>
        <v>1.1627906976744186E-2</v>
      </c>
      <c r="G77" s="30"/>
      <c r="H77" s="48">
        <v>1.8</v>
      </c>
      <c r="I77" s="30">
        <f>AVERAGE(F1729:F1734)</f>
        <v>6.1253948185089786E-3</v>
      </c>
      <c r="J77" s="50">
        <v>1.8</v>
      </c>
      <c r="K77" s="30">
        <f>AVERAGE(F1814:F1819)</f>
        <v>8.6764536606134968E-3</v>
      </c>
      <c r="L77" s="50">
        <v>1.8</v>
      </c>
      <c r="M77" s="30">
        <f>AVERAGE(F1899:F1904)</f>
        <v>1.1585342465109012E-2</v>
      </c>
      <c r="N77" s="50">
        <v>1.8</v>
      </c>
      <c r="O77" s="30">
        <f>AVERAGE(F1984:F1989)</f>
        <v>1.7302932308733237E-2</v>
      </c>
      <c r="P77" s="50">
        <v>1.8</v>
      </c>
      <c r="Q77" s="70">
        <f>AVERAGE(F2069:F2074)</f>
        <v>2.3119964302134848E-2</v>
      </c>
      <c r="R77" s="3"/>
      <c r="S77" s="3"/>
    </row>
    <row r="78" spans="1:19" x14ac:dyDescent="0.25">
      <c r="A78" s="26">
        <v>0.5</v>
      </c>
      <c r="B78" s="26">
        <v>7</v>
      </c>
      <c r="C78" s="26">
        <v>2.8</v>
      </c>
      <c r="D78" s="26">
        <v>1</v>
      </c>
      <c r="E78" s="26">
        <v>86</v>
      </c>
      <c r="F78" s="66">
        <f t="shared" si="6"/>
        <v>1.1627906976744186E-2</v>
      </c>
      <c r="G78" s="30"/>
      <c r="H78" s="48">
        <v>2</v>
      </c>
      <c r="I78" s="30">
        <f>AVERAGE(F1735:F1740)</f>
        <v>6.0022216967624067E-3</v>
      </c>
      <c r="J78" s="50">
        <v>2</v>
      </c>
      <c r="K78" s="30">
        <f>AVERAGE(F1820:F1825)</f>
        <v>8.4893920068968304E-3</v>
      </c>
      <c r="L78" s="50">
        <v>2</v>
      </c>
      <c r="M78" s="30">
        <f>AVERAGE(F1905:F1910)</f>
        <v>1.1322979192632398E-2</v>
      </c>
      <c r="N78" s="50">
        <v>2</v>
      </c>
      <c r="O78" s="30">
        <f>AVERAGE(F1990:F1995)</f>
        <v>1.6876658128324475E-2</v>
      </c>
      <c r="P78" s="50">
        <v>2</v>
      </c>
      <c r="Q78" s="70">
        <f>AVERAGE(F2075:F2080)</f>
        <v>2.2727272727272731E-2</v>
      </c>
      <c r="R78" s="3"/>
      <c r="S78" s="3"/>
    </row>
    <row r="79" spans="1:19" x14ac:dyDescent="0.25">
      <c r="A79" s="26">
        <v>0.5</v>
      </c>
      <c r="B79" s="26">
        <v>7</v>
      </c>
      <c r="C79" s="26">
        <v>2.8</v>
      </c>
      <c r="D79" s="26">
        <v>1.5</v>
      </c>
      <c r="E79" s="26">
        <v>129</v>
      </c>
      <c r="F79" s="66">
        <f t="shared" si="6"/>
        <v>1.1627906976744186E-2</v>
      </c>
      <c r="G79" s="30"/>
      <c r="H79" s="48">
        <v>2.2000000000000002</v>
      </c>
      <c r="I79" s="30">
        <f>AVERAGE(F1741:F1746)</f>
        <v>5.8714282683113234E-3</v>
      </c>
      <c r="J79" s="50">
        <v>2.2000000000000002</v>
      </c>
      <c r="K79" s="30">
        <f>AVERAGE(F1826:F1831)</f>
        <v>8.3114353031798344E-3</v>
      </c>
      <c r="L79" s="50">
        <v>2.2000000000000002</v>
      </c>
      <c r="M79" s="30">
        <f>AVERAGE(F1911:F1916)</f>
        <v>1.107223589126601E-2</v>
      </c>
      <c r="N79" s="50">
        <v>2.2000000000000002</v>
      </c>
      <c r="O79" s="30">
        <f>AVERAGE(F1996:F2001)</f>
        <v>1.6579442077128689E-2</v>
      </c>
      <c r="P79" s="50">
        <v>2.2000000000000002</v>
      </c>
      <c r="Q79" s="70">
        <f>AVERAGE(F2081:F2086)</f>
        <v>2.2098085739361797E-2</v>
      </c>
      <c r="R79" s="3"/>
      <c r="S79" s="3"/>
    </row>
    <row r="80" spans="1:19" x14ac:dyDescent="0.25">
      <c r="A80" s="26">
        <v>0.5</v>
      </c>
      <c r="B80" s="26">
        <v>7</v>
      </c>
      <c r="C80" s="26">
        <v>2.8</v>
      </c>
      <c r="D80" s="26">
        <v>2</v>
      </c>
      <c r="E80" s="26">
        <v>171</v>
      </c>
      <c r="F80" s="66">
        <f t="shared" si="6"/>
        <v>1.1695906432748537E-2</v>
      </c>
      <c r="G80" s="30"/>
      <c r="H80" s="48">
        <v>2.4</v>
      </c>
      <c r="I80" s="30">
        <f>AVERAGE(F1747:F1752)</f>
        <v>5.7471264367816091E-3</v>
      </c>
      <c r="J80" s="50">
        <v>2.4</v>
      </c>
      <c r="K80" s="30">
        <f>AVERAGE(F1832:F1837)</f>
        <v>8.1562897033446418E-3</v>
      </c>
      <c r="L80" s="50">
        <v>2.4</v>
      </c>
      <c r="M80" s="30">
        <f>AVERAGE(F1917:F1922)</f>
        <v>1.0869565217391304E-2</v>
      </c>
      <c r="N80" s="50">
        <v>2.4</v>
      </c>
      <c r="O80" s="30">
        <f>AVERAGE(F2002:F2007)</f>
        <v>1.6288533735976839E-2</v>
      </c>
      <c r="P80" s="50">
        <v>2.4</v>
      </c>
      <c r="Q80" s="70">
        <f>AVERAGE(F2087:F2092)</f>
        <v>2.1739130434782608E-2</v>
      </c>
      <c r="R80" s="3"/>
      <c r="S80" s="3"/>
    </row>
    <row r="81" spans="1:19" x14ac:dyDescent="0.25">
      <c r="A81" s="26">
        <v>0.5</v>
      </c>
      <c r="B81" s="26">
        <v>7</v>
      </c>
      <c r="C81" s="26">
        <v>2.8</v>
      </c>
      <c r="D81" s="26">
        <v>2.5</v>
      </c>
      <c r="E81" s="26">
        <v>214</v>
      </c>
      <c r="F81" s="66">
        <f t="shared" si="6"/>
        <v>1.1682242990654205E-2</v>
      </c>
      <c r="G81" s="30"/>
      <c r="H81" s="48">
        <v>2.6</v>
      </c>
      <c r="I81" s="30">
        <f>AVERAGE(F1753:F1758)</f>
        <v>5.6244806425735788E-3</v>
      </c>
      <c r="J81" s="50">
        <v>2.6</v>
      </c>
      <c r="K81" s="30">
        <f>AVERAGE(F1838:F1843)</f>
        <v>7.9837419646745997E-3</v>
      </c>
      <c r="L81" s="50">
        <v>2.6</v>
      </c>
      <c r="M81" s="30">
        <f>AVERAGE(F1923:F1928)</f>
        <v>1.0661666341697873E-2</v>
      </c>
      <c r="N81" s="50">
        <v>2.6</v>
      </c>
      <c r="O81" s="30">
        <f>AVERAGE(F2008:F2013)</f>
        <v>1.5973418104513758E-2</v>
      </c>
      <c r="P81" s="50">
        <v>2.6</v>
      </c>
      <c r="Q81" s="70">
        <f>AVERAGE(F2093:F2098)</f>
        <v>2.1162720301453709E-2</v>
      </c>
      <c r="R81" s="3"/>
      <c r="S81" s="3"/>
    </row>
    <row r="82" spans="1:19" x14ac:dyDescent="0.25">
      <c r="A82" s="26">
        <v>0.5</v>
      </c>
      <c r="B82" s="26">
        <v>7</v>
      </c>
      <c r="C82" s="26">
        <v>2.8</v>
      </c>
      <c r="D82" s="26">
        <v>3</v>
      </c>
      <c r="E82" s="26">
        <v>257</v>
      </c>
      <c r="F82" s="66">
        <f t="shared" si="6"/>
        <v>1.1673151750972763E-2</v>
      </c>
      <c r="G82" s="30"/>
      <c r="H82" s="48">
        <v>2.8</v>
      </c>
      <c r="I82" s="30">
        <f>AVERAGE(F1759:F1764)</f>
        <v>5.5170934681878408E-3</v>
      </c>
      <c r="J82" s="50">
        <v>2.8</v>
      </c>
      <c r="K82" s="30">
        <f>AVERAGE(F1844:F1849)</f>
        <v>7.8496824176302934E-3</v>
      </c>
      <c r="L82" s="50">
        <v>2.8</v>
      </c>
      <c r="M82" s="30">
        <f>AVERAGE(F1929:F1934)</f>
        <v>1.0439069484496773E-2</v>
      </c>
      <c r="N82" s="50">
        <v>2.8</v>
      </c>
      <c r="O82" s="30">
        <f>AVERAGE(F2014:F2019)</f>
        <v>1.5675518036506179E-2</v>
      </c>
      <c r="P82" s="50">
        <v>2.8</v>
      </c>
      <c r="Q82" s="70">
        <f>AVERAGE(F2099:F2104)</f>
        <v>2.0923342653218813E-2</v>
      </c>
      <c r="R82" s="3"/>
      <c r="S82" s="3"/>
    </row>
    <row r="83" spans="1:19" ht="15.75" thickBot="1" x14ac:dyDescent="0.3">
      <c r="A83" s="26">
        <v>0.5</v>
      </c>
      <c r="B83" s="26">
        <v>7</v>
      </c>
      <c r="C83" s="26">
        <v>3</v>
      </c>
      <c r="D83" s="26">
        <v>0.5</v>
      </c>
      <c r="E83" s="26">
        <v>44</v>
      </c>
      <c r="F83" s="66">
        <f t="shared" si="6"/>
        <v>1.1363636363636364E-2</v>
      </c>
      <c r="G83" s="30"/>
      <c r="H83" s="57">
        <v>3</v>
      </c>
      <c r="I83" s="68">
        <f>AVERAGE(F1765:F1770)</f>
        <v>5.434782608695652E-3</v>
      </c>
      <c r="J83" s="59">
        <v>3</v>
      </c>
      <c r="K83" s="68">
        <f>AVERAGE(F1850:F1855)</f>
        <v>7.7045104073096074E-3</v>
      </c>
      <c r="L83" s="59">
        <v>3</v>
      </c>
      <c r="M83" s="68">
        <f>AVERAGE(F1935:F1940)</f>
        <v>1.0267630214779938E-2</v>
      </c>
      <c r="N83" s="59">
        <v>3</v>
      </c>
      <c r="O83" s="68">
        <f>AVERAGE(F2020:F2025)</f>
        <v>1.5324817844537389E-2</v>
      </c>
      <c r="P83" s="59">
        <v>3</v>
      </c>
      <c r="Q83" s="71">
        <f>AVERAGE(F2105:F2110)</f>
        <v>2.0574624498219635E-2</v>
      </c>
      <c r="R83" s="3"/>
      <c r="S83" s="3"/>
    </row>
    <row r="84" spans="1:19" x14ac:dyDescent="0.25">
      <c r="A84" s="26">
        <v>0.5</v>
      </c>
      <c r="B84" s="26">
        <v>7</v>
      </c>
      <c r="C84" s="26">
        <v>3</v>
      </c>
      <c r="D84" s="26">
        <v>1</v>
      </c>
      <c r="E84" s="26">
        <v>87</v>
      </c>
      <c r="F84" s="66">
        <f t="shared" si="6"/>
        <v>1.1494252873563218E-2</v>
      </c>
      <c r="G84" s="30"/>
      <c r="H84" s="30"/>
      <c r="I84" s="30"/>
      <c r="J84" s="30"/>
      <c r="L84" s="3"/>
      <c r="M84" s="3"/>
      <c r="N84" s="3"/>
      <c r="O84" s="3"/>
      <c r="P84" s="3"/>
      <c r="Q84" s="3"/>
      <c r="R84" s="3"/>
      <c r="S84" s="3"/>
    </row>
    <row r="85" spans="1:19" x14ac:dyDescent="0.25">
      <c r="A85" s="26">
        <v>0.5</v>
      </c>
      <c r="B85" s="26">
        <v>7</v>
      </c>
      <c r="C85" s="26">
        <v>3</v>
      </c>
      <c r="D85" s="26">
        <v>1.5</v>
      </c>
      <c r="E85" s="26">
        <v>131</v>
      </c>
      <c r="F85" s="66">
        <f t="shared" si="6"/>
        <v>1.1450381679389313E-2</v>
      </c>
      <c r="G85" s="30"/>
      <c r="H85" s="30"/>
      <c r="I85" s="30"/>
      <c r="J85" s="30"/>
      <c r="L85" s="3"/>
      <c r="M85" s="3"/>
      <c r="N85" s="3"/>
      <c r="O85" s="3"/>
      <c r="P85" s="3"/>
      <c r="Q85" s="3"/>
      <c r="R85" s="3"/>
      <c r="S85" s="3"/>
    </row>
    <row r="86" spans="1:19" x14ac:dyDescent="0.25">
      <c r="A86" s="26">
        <v>0.5</v>
      </c>
      <c r="B86" s="26">
        <v>7</v>
      </c>
      <c r="C86" s="26">
        <v>3</v>
      </c>
      <c r="D86" s="26">
        <v>2</v>
      </c>
      <c r="E86" s="26">
        <v>174</v>
      </c>
      <c r="F86" s="66">
        <f t="shared" si="6"/>
        <v>1.1494252873563218E-2</v>
      </c>
      <c r="G86" s="30"/>
      <c r="H86" s="30"/>
      <c r="I86" s="30"/>
      <c r="J86" s="30"/>
      <c r="L86" s="3"/>
      <c r="M86" s="3"/>
      <c r="N86" s="3"/>
      <c r="O86" s="3"/>
      <c r="P86" s="3"/>
      <c r="Q86" s="3"/>
      <c r="R86" s="3"/>
      <c r="S86" s="3"/>
    </row>
    <row r="87" spans="1:19" x14ac:dyDescent="0.25">
      <c r="A87" s="26">
        <v>0.5</v>
      </c>
      <c r="B87" s="26">
        <v>7</v>
      </c>
      <c r="C87" s="26">
        <v>3</v>
      </c>
      <c r="D87" s="26">
        <v>2.5</v>
      </c>
      <c r="E87" s="26">
        <v>218</v>
      </c>
      <c r="F87" s="66">
        <f t="shared" si="6"/>
        <v>1.1467889908256881E-2</v>
      </c>
      <c r="G87" s="30"/>
      <c r="H87" s="30"/>
      <c r="I87" s="30"/>
      <c r="J87" s="30"/>
      <c r="L87" s="3"/>
      <c r="M87" s="3"/>
      <c r="N87" s="3"/>
      <c r="O87" s="3"/>
      <c r="P87" s="3"/>
      <c r="Q87" s="3"/>
      <c r="R87" s="3"/>
      <c r="S87" s="3"/>
    </row>
    <row r="88" spans="1:19" x14ac:dyDescent="0.25">
      <c r="A88" s="26">
        <v>0.5</v>
      </c>
      <c r="B88" s="26">
        <v>7</v>
      </c>
      <c r="C88" s="26">
        <v>3</v>
      </c>
      <c r="D88" s="26">
        <v>3</v>
      </c>
      <c r="E88" s="26">
        <v>261</v>
      </c>
      <c r="F88" s="66">
        <f t="shared" si="6"/>
        <v>1.1494252873563218E-2</v>
      </c>
      <c r="G88" s="30"/>
      <c r="H88" s="30"/>
      <c r="I88" s="30"/>
      <c r="J88" s="30"/>
      <c r="L88" s="3"/>
      <c r="M88" s="3"/>
      <c r="N88" s="3"/>
      <c r="O88" s="3"/>
      <c r="P88" s="3"/>
      <c r="Q88" s="3"/>
      <c r="R88" s="3"/>
      <c r="S88" s="3"/>
    </row>
    <row r="89" spans="1:19" x14ac:dyDescent="0.25">
      <c r="A89" s="26">
        <v>0.5</v>
      </c>
      <c r="B89" s="26">
        <v>7.5</v>
      </c>
      <c r="C89" s="39">
        <v>0.4</v>
      </c>
      <c r="D89" s="26">
        <v>0.5</v>
      </c>
      <c r="E89" s="26">
        <v>40</v>
      </c>
      <c r="F89" s="66">
        <f t="shared" si="6"/>
        <v>1.2500000000000001E-2</v>
      </c>
      <c r="G89" s="30"/>
      <c r="H89" s="30"/>
      <c r="I89" s="30"/>
      <c r="J89" s="30"/>
      <c r="L89" s="3"/>
      <c r="M89" s="3"/>
      <c r="N89" s="3"/>
      <c r="O89" s="3"/>
      <c r="P89" s="3"/>
      <c r="Q89" s="3"/>
      <c r="R89" s="3"/>
      <c r="S89" s="3"/>
    </row>
    <row r="90" spans="1:19" x14ac:dyDescent="0.25">
      <c r="A90" s="26">
        <v>0.5</v>
      </c>
      <c r="B90" s="26">
        <v>7.5</v>
      </c>
      <c r="C90" s="39">
        <v>0.4</v>
      </c>
      <c r="D90" s="26">
        <v>1</v>
      </c>
      <c r="E90" s="26">
        <v>79</v>
      </c>
      <c r="F90" s="66">
        <f t="shared" si="6"/>
        <v>1.2658227848101266E-2</v>
      </c>
      <c r="G90" s="30"/>
      <c r="H90" s="30"/>
      <c r="I90" s="30"/>
      <c r="J90" s="30"/>
      <c r="L90" s="3"/>
      <c r="M90" s="3"/>
      <c r="N90" s="3"/>
      <c r="O90" s="3"/>
      <c r="P90" s="3"/>
      <c r="Q90" s="3"/>
      <c r="R90" s="3"/>
      <c r="S90" s="3"/>
    </row>
    <row r="91" spans="1:19" x14ac:dyDescent="0.25">
      <c r="A91" s="26">
        <v>0.5</v>
      </c>
      <c r="B91" s="26">
        <v>7.5</v>
      </c>
      <c r="C91" s="39">
        <v>0.4</v>
      </c>
      <c r="D91" s="26">
        <v>1.5</v>
      </c>
      <c r="E91" s="26">
        <v>119</v>
      </c>
      <c r="F91" s="66">
        <f t="shared" si="6"/>
        <v>1.2605042016806723E-2</v>
      </c>
      <c r="G91" s="30"/>
      <c r="H91" s="30"/>
      <c r="I91" s="30"/>
      <c r="J91" s="30"/>
      <c r="L91" s="3"/>
      <c r="M91" s="3"/>
      <c r="N91" s="3"/>
      <c r="O91" s="3"/>
      <c r="P91" s="3"/>
      <c r="Q91" s="3"/>
      <c r="R91" s="3"/>
      <c r="S91" s="3"/>
    </row>
    <row r="92" spans="1:19" x14ac:dyDescent="0.25">
      <c r="A92" s="26">
        <v>0.5</v>
      </c>
      <c r="B92" s="26">
        <v>7.5</v>
      </c>
      <c r="C92" s="39">
        <v>0.4</v>
      </c>
      <c r="D92" s="26">
        <v>2</v>
      </c>
      <c r="E92" s="26">
        <v>158</v>
      </c>
      <c r="F92" s="66">
        <f t="shared" si="6"/>
        <v>1.2658227848101266E-2</v>
      </c>
      <c r="G92" s="30"/>
      <c r="H92" s="30"/>
      <c r="I92" s="30"/>
      <c r="J92" s="30"/>
      <c r="L92" s="3"/>
      <c r="M92" s="3"/>
      <c r="N92" s="3"/>
      <c r="O92" s="3"/>
      <c r="P92" s="3"/>
      <c r="Q92" s="3"/>
      <c r="R92" s="3"/>
      <c r="S92" s="3"/>
    </row>
    <row r="93" spans="1:19" x14ac:dyDescent="0.25">
      <c r="A93" s="26">
        <v>0.5</v>
      </c>
      <c r="B93" s="26">
        <v>7.5</v>
      </c>
      <c r="C93" s="39">
        <v>0.4</v>
      </c>
      <c r="D93" s="26">
        <v>2.5</v>
      </c>
      <c r="E93" s="26">
        <v>198</v>
      </c>
      <c r="F93" s="66">
        <f t="shared" si="6"/>
        <v>1.2626262626262626E-2</v>
      </c>
      <c r="G93" s="30"/>
      <c r="H93" s="30"/>
      <c r="I93" s="30"/>
      <c r="J93" s="30"/>
      <c r="L93" s="3"/>
      <c r="M93" s="3"/>
      <c r="N93" s="3"/>
      <c r="O93" s="3"/>
      <c r="P93" s="3"/>
      <c r="Q93" s="3"/>
      <c r="R93" s="3"/>
      <c r="S93" s="3"/>
    </row>
    <row r="94" spans="1:19" x14ac:dyDescent="0.25">
      <c r="A94" s="26">
        <v>0.5</v>
      </c>
      <c r="B94" s="26">
        <v>7.5</v>
      </c>
      <c r="C94" s="39">
        <v>0.4</v>
      </c>
      <c r="D94" s="26">
        <v>3</v>
      </c>
      <c r="E94" s="26">
        <v>237</v>
      </c>
      <c r="F94" s="66">
        <f t="shared" si="6"/>
        <v>1.2658227848101266E-2</v>
      </c>
      <c r="G94" s="30"/>
      <c r="H94" s="30"/>
      <c r="I94" s="30"/>
      <c r="J94" s="30"/>
      <c r="L94" s="3"/>
      <c r="M94" s="3"/>
      <c r="N94" s="3"/>
      <c r="O94" s="3"/>
      <c r="P94" s="3"/>
      <c r="Q94" s="3"/>
      <c r="R94" s="3"/>
      <c r="S94" s="3"/>
    </row>
    <row r="95" spans="1:19" x14ac:dyDescent="0.25">
      <c r="A95" s="26">
        <v>0.5</v>
      </c>
      <c r="B95" s="26">
        <v>7.5</v>
      </c>
      <c r="C95" s="39">
        <v>0.6</v>
      </c>
      <c r="D95" s="26">
        <v>0.5</v>
      </c>
      <c r="E95" s="26">
        <v>40</v>
      </c>
      <c r="F95" s="66">
        <f t="shared" si="6"/>
        <v>1.2500000000000001E-2</v>
      </c>
      <c r="G95" s="30"/>
      <c r="H95" s="30"/>
      <c r="I95" s="30"/>
      <c r="J95" s="30"/>
      <c r="L95" s="3"/>
      <c r="M95" s="3"/>
      <c r="N95" s="3"/>
      <c r="O95" s="3"/>
      <c r="P95" s="3"/>
      <c r="Q95" s="3"/>
      <c r="R95" s="3"/>
      <c r="S95" s="3"/>
    </row>
    <row r="96" spans="1:19" x14ac:dyDescent="0.25">
      <c r="A96" s="26">
        <v>0.5</v>
      </c>
      <c r="B96" s="26">
        <v>7.5</v>
      </c>
      <c r="C96" s="39">
        <v>0.6</v>
      </c>
      <c r="D96" s="26">
        <v>1</v>
      </c>
      <c r="E96" s="26">
        <v>80</v>
      </c>
      <c r="F96" s="66">
        <f t="shared" si="6"/>
        <v>1.2500000000000001E-2</v>
      </c>
      <c r="G96" s="30"/>
      <c r="H96" s="30"/>
      <c r="I96" s="30"/>
      <c r="J96" s="30"/>
      <c r="L96" s="3"/>
      <c r="M96" s="3"/>
      <c r="N96" s="3"/>
      <c r="O96" s="3"/>
      <c r="P96" s="3"/>
      <c r="Q96" s="3"/>
      <c r="R96" s="3"/>
      <c r="S96" s="3"/>
    </row>
    <row r="97" spans="1:19" x14ac:dyDescent="0.25">
      <c r="A97" s="26">
        <v>0.5</v>
      </c>
      <c r="B97" s="26">
        <v>7.5</v>
      </c>
      <c r="C97" s="39">
        <v>0.6</v>
      </c>
      <c r="D97" s="26">
        <v>1.5</v>
      </c>
      <c r="E97" s="26">
        <v>120</v>
      </c>
      <c r="F97" s="66">
        <f t="shared" si="6"/>
        <v>1.2500000000000001E-2</v>
      </c>
      <c r="G97" s="30"/>
      <c r="H97" s="30"/>
      <c r="I97" s="30"/>
      <c r="J97" s="30"/>
      <c r="L97" s="3"/>
      <c r="M97" s="3"/>
      <c r="N97" s="3"/>
      <c r="O97" s="3"/>
      <c r="P97" s="3"/>
      <c r="Q97" s="3"/>
      <c r="R97" s="3"/>
      <c r="S97" s="3"/>
    </row>
    <row r="98" spans="1:19" x14ac:dyDescent="0.25">
      <c r="A98" s="26">
        <v>0.5</v>
      </c>
      <c r="B98" s="26">
        <v>7.5</v>
      </c>
      <c r="C98" s="39">
        <v>0.6</v>
      </c>
      <c r="D98" s="26">
        <v>2</v>
      </c>
      <c r="E98" s="26">
        <v>159</v>
      </c>
      <c r="F98" s="66">
        <f t="shared" si="6"/>
        <v>1.2578616352201259E-2</v>
      </c>
      <c r="G98" s="30"/>
      <c r="H98" s="30"/>
      <c r="I98" s="30"/>
      <c r="J98" s="30"/>
      <c r="L98" s="3"/>
      <c r="M98" s="3"/>
      <c r="N98" s="3"/>
      <c r="O98" s="3"/>
      <c r="P98" s="3"/>
      <c r="Q98" s="3"/>
      <c r="R98" s="3"/>
      <c r="S98" s="3"/>
    </row>
    <row r="99" spans="1:19" x14ac:dyDescent="0.25">
      <c r="A99" s="26">
        <v>0.5</v>
      </c>
      <c r="B99" s="26">
        <v>7.5</v>
      </c>
      <c r="C99" s="39">
        <v>0.6</v>
      </c>
      <c r="D99" s="26">
        <v>2.5</v>
      </c>
      <c r="E99" s="26">
        <v>199</v>
      </c>
      <c r="F99" s="66">
        <f t="shared" si="6"/>
        <v>1.2562814070351759E-2</v>
      </c>
      <c r="G99" s="30"/>
      <c r="H99" s="30"/>
      <c r="I99" s="30"/>
      <c r="J99" s="30"/>
      <c r="L99" s="3"/>
      <c r="M99" s="3"/>
      <c r="N99" s="3"/>
      <c r="O99" s="3"/>
      <c r="P99" s="3"/>
      <c r="Q99" s="3"/>
      <c r="R99" s="3"/>
      <c r="S99" s="3"/>
    </row>
    <row r="100" spans="1:19" x14ac:dyDescent="0.25">
      <c r="A100" s="26">
        <v>0.5</v>
      </c>
      <c r="B100" s="26">
        <v>7.5</v>
      </c>
      <c r="C100" s="39">
        <v>0.6</v>
      </c>
      <c r="D100" s="26">
        <v>3</v>
      </c>
      <c r="E100" s="26">
        <v>239</v>
      </c>
      <c r="F100" s="66">
        <f t="shared" si="6"/>
        <v>1.2552301255230125E-2</v>
      </c>
      <c r="G100" s="30"/>
      <c r="H100" s="30"/>
      <c r="I100" s="30"/>
      <c r="J100" s="30"/>
      <c r="L100" s="3"/>
      <c r="M100" s="3"/>
      <c r="N100" s="3"/>
      <c r="O100" s="3"/>
      <c r="P100" s="3"/>
      <c r="Q100" s="3"/>
      <c r="R100" s="3"/>
      <c r="S100" s="3"/>
    </row>
    <row r="101" spans="1:19" x14ac:dyDescent="0.25">
      <c r="A101" s="26">
        <v>0.5</v>
      </c>
      <c r="B101" s="26">
        <v>7.5</v>
      </c>
      <c r="C101" s="26">
        <v>0.8</v>
      </c>
      <c r="D101" s="26">
        <v>0.5</v>
      </c>
      <c r="E101" s="26">
        <v>41</v>
      </c>
      <c r="F101" s="66">
        <f t="shared" si="6"/>
        <v>1.2195121951219513E-2</v>
      </c>
      <c r="G101" s="30"/>
      <c r="H101" s="30"/>
      <c r="I101" s="30"/>
      <c r="J101" s="30"/>
      <c r="L101" s="3"/>
      <c r="M101" s="3"/>
      <c r="N101" s="3"/>
      <c r="O101" s="3"/>
      <c r="P101" s="3"/>
      <c r="Q101" s="3"/>
      <c r="R101" s="3"/>
      <c r="S101" s="3"/>
    </row>
    <row r="102" spans="1:19" x14ac:dyDescent="0.25">
      <c r="A102" s="26">
        <v>0.5</v>
      </c>
      <c r="B102" s="26">
        <v>7.5</v>
      </c>
      <c r="C102" s="26">
        <v>0.8</v>
      </c>
      <c r="D102" s="26">
        <v>1</v>
      </c>
      <c r="E102" s="26">
        <v>82</v>
      </c>
      <c r="F102" s="66">
        <f t="shared" si="6"/>
        <v>1.2195121951219513E-2</v>
      </c>
      <c r="G102" s="30"/>
      <c r="H102" s="30"/>
      <c r="I102" s="30"/>
      <c r="J102" s="30"/>
      <c r="L102" s="3"/>
      <c r="M102" s="3"/>
      <c r="N102" s="3"/>
      <c r="O102" s="3"/>
      <c r="P102" s="3"/>
      <c r="Q102" s="3"/>
      <c r="R102" s="30"/>
      <c r="S102" s="3"/>
    </row>
    <row r="103" spans="1:19" x14ac:dyDescent="0.25">
      <c r="A103" s="26">
        <v>0.5</v>
      </c>
      <c r="B103" s="26">
        <v>7.5</v>
      </c>
      <c r="C103" s="26">
        <v>0.8</v>
      </c>
      <c r="D103" s="26">
        <v>1.5</v>
      </c>
      <c r="E103" s="26">
        <v>123</v>
      </c>
      <c r="F103" s="66">
        <f t="shared" si="6"/>
        <v>1.2195121951219513E-2</v>
      </c>
      <c r="G103" s="30"/>
      <c r="H103" s="30"/>
      <c r="I103" s="30"/>
      <c r="J103" s="30"/>
      <c r="L103" s="3"/>
      <c r="M103" s="3"/>
      <c r="N103" s="3"/>
      <c r="O103" s="3"/>
      <c r="P103" s="3"/>
      <c r="Q103" s="3"/>
      <c r="R103" s="3"/>
      <c r="S103" s="3"/>
    </row>
    <row r="104" spans="1:19" x14ac:dyDescent="0.25">
      <c r="A104" s="26">
        <v>0.5</v>
      </c>
      <c r="B104" s="26">
        <v>7.5</v>
      </c>
      <c r="C104" s="26">
        <v>0.8</v>
      </c>
      <c r="D104" s="26">
        <v>2</v>
      </c>
      <c r="E104" s="26">
        <v>164</v>
      </c>
      <c r="F104" s="66">
        <f t="shared" si="6"/>
        <v>1.2195121951219513E-2</v>
      </c>
      <c r="G104" s="30"/>
      <c r="H104" s="30"/>
      <c r="I104" s="30"/>
      <c r="J104" s="30"/>
      <c r="L104" s="3"/>
      <c r="M104" s="3"/>
      <c r="N104" s="3"/>
      <c r="O104" s="3"/>
      <c r="P104" s="3"/>
      <c r="Q104" s="3"/>
      <c r="R104" s="3"/>
      <c r="S104" s="3"/>
    </row>
    <row r="105" spans="1:19" x14ac:dyDescent="0.25">
      <c r="A105" s="26">
        <v>0.5</v>
      </c>
      <c r="B105" s="26">
        <v>7.5</v>
      </c>
      <c r="C105" s="26">
        <v>0.8</v>
      </c>
      <c r="D105" s="26">
        <v>2.5</v>
      </c>
      <c r="E105" s="26">
        <v>205</v>
      </c>
      <c r="F105" s="66">
        <f t="shared" si="6"/>
        <v>1.2195121951219513E-2</v>
      </c>
      <c r="G105" s="30"/>
      <c r="H105" s="30"/>
      <c r="I105" s="30"/>
      <c r="J105" s="30"/>
      <c r="L105" s="3"/>
      <c r="M105" s="3"/>
      <c r="N105" s="3"/>
      <c r="O105" s="3"/>
      <c r="P105" s="3"/>
      <c r="Q105" s="3"/>
      <c r="R105" s="3"/>
      <c r="S105" s="3"/>
    </row>
    <row r="106" spans="1:19" x14ac:dyDescent="0.25">
      <c r="A106" s="26">
        <v>0.5</v>
      </c>
      <c r="B106" s="26">
        <v>7.5</v>
      </c>
      <c r="C106" s="26">
        <v>0.8</v>
      </c>
      <c r="D106" s="26">
        <v>3</v>
      </c>
      <c r="E106" s="26">
        <v>246</v>
      </c>
      <c r="F106" s="66">
        <f t="shared" si="6"/>
        <v>1.2195121951219513E-2</v>
      </c>
      <c r="G106" s="30"/>
      <c r="H106" s="30"/>
      <c r="I106" s="30"/>
      <c r="J106" s="30"/>
      <c r="L106" s="3"/>
      <c r="M106" s="3"/>
      <c r="N106" s="3"/>
      <c r="O106" s="3"/>
      <c r="P106" s="3"/>
      <c r="Q106" s="3"/>
      <c r="R106" s="3"/>
      <c r="S106" s="3"/>
    </row>
    <row r="107" spans="1:19" x14ac:dyDescent="0.25">
      <c r="A107" s="26">
        <v>0.5</v>
      </c>
      <c r="B107" s="26">
        <v>7.5</v>
      </c>
      <c r="C107" s="26">
        <v>1</v>
      </c>
      <c r="D107" s="26">
        <v>0.5</v>
      </c>
      <c r="E107" s="26">
        <v>42</v>
      </c>
      <c r="F107" s="66">
        <f t="shared" si="6"/>
        <v>1.1904761904761904E-2</v>
      </c>
      <c r="G107" s="30"/>
      <c r="H107" s="30"/>
      <c r="I107" s="30"/>
      <c r="J107" s="30"/>
      <c r="L107" s="3"/>
      <c r="M107" s="3"/>
      <c r="N107" s="3"/>
      <c r="O107" s="3"/>
      <c r="P107" s="3"/>
      <c r="Q107" s="3"/>
      <c r="R107" s="3"/>
      <c r="S107" s="3"/>
    </row>
    <row r="108" spans="1:19" x14ac:dyDescent="0.25">
      <c r="A108" s="26">
        <v>0.5</v>
      </c>
      <c r="B108" s="26">
        <v>7.5</v>
      </c>
      <c r="C108" s="26">
        <v>1</v>
      </c>
      <c r="D108" s="26">
        <v>1</v>
      </c>
      <c r="E108" s="26">
        <v>84</v>
      </c>
      <c r="F108" s="66">
        <f t="shared" si="6"/>
        <v>1.1904761904761904E-2</v>
      </c>
      <c r="G108" s="30"/>
      <c r="H108" s="30"/>
      <c r="I108" s="30"/>
      <c r="J108" s="30"/>
      <c r="L108" s="3"/>
      <c r="M108" s="3"/>
      <c r="N108" s="3"/>
      <c r="O108" s="3"/>
      <c r="P108" s="3"/>
      <c r="Q108" s="3"/>
      <c r="R108" s="3"/>
      <c r="S108" s="3"/>
    </row>
    <row r="109" spans="1:19" x14ac:dyDescent="0.25">
      <c r="A109" s="26">
        <v>0.5</v>
      </c>
      <c r="B109" s="26">
        <v>7.5</v>
      </c>
      <c r="C109" s="26">
        <v>1</v>
      </c>
      <c r="D109" s="26">
        <v>1.5</v>
      </c>
      <c r="E109" s="26">
        <v>127</v>
      </c>
      <c r="F109" s="66">
        <f t="shared" si="6"/>
        <v>1.1811023622047244E-2</v>
      </c>
      <c r="G109" s="30"/>
      <c r="H109" s="30"/>
      <c r="I109" s="30"/>
      <c r="J109" s="30"/>
      <c r="L109" s="3"/>
      <c r="M109" s="3"/>
      <c r="N109" s="3"/>
      <c r="O109" s="3"/>
      <c r="P109" s="3"/>
      <c r="Q109" s="3"/>
      <c r="R109" s="30"/>
      <c r="S109" s="3"/>
    </row>
    <row r="110" spans="1:19" x14ac:dyDescent="0.25">
      <c r="A110" s="26">
        <v>0.5</v>
      </c>
      <c r="B110" s="26">
        <v>7.5</v>
      </c>
      <c r="C110" s="26">
        <v>1</v>
      </c>
      <c r="D110" s="26">
        <v>2</v>
      </c>
      <c r="E110" s="26">
        <v>169</v>
      </c>
      <c r="F110" s="66">
        <f t="shared" si="6"/>
        <v>1.1834319526627219E-2</v>
      </c>
      <c r="G110" s="30"/>
      <c r="H110" s="30"/>
      <c r="I110" s="30"/>
      <c r="J110" s="30"/>
      <c r="L110" s="3"/>
      <c r="M110" s="3"/>
      <c r="N110" s="3"/>
      <c r="O110" s="3"/>
      <c r="P110" s="3"/>
      <c r="Q110" s="3"/>
      <c r="R110" s="3"/>
      <c r="S110" s="3"/>
    </row>
    <row r="111" spans="1:19" x14ac:dyDescent="0.25">
      <c r="A111" s="26">
        <v>0.5</v>
      </c>
      <c r="B111" s="26">
        <v>7.5</v>
      </c>
      <c r="C111" s="26">
        <v>1</v>
      </c>
      <c r="D111" s="26">
        <v>2.5</v>
      </c>
      <c r="E111" s="26">
        <v>211</v>
      </c>
      <c r="F111" s="66">
        <f t="shared" si="6"/>
        <v>1.1848341232227487E-2</v>
      </c>
      <c r="G111" s="30"/>
      <c r="H111" s="30"/>
      <c r="I111" s="30"/>
      <c r="J111" s="30"/>
      <c r="L111" s="3"/>
      <c r="M111" s="3"/>
      <c r="N111" s="3"/>
      <c r="O111" s="3"/>
      <c r="P111" s="3"/>
      <c r="Q111" s="3"/>
      <c r="R111" s="3"/>
      <c r="S111" s="3"/>
    </row>
    <row r="112" spans="1:19" x14ac:dyDescent="0.25">
      <c r="A112" s="26">
        <v>0.5</v>
      </c>
      <c r="B112" s="26">
        <v>7.5</v>
      </c>
      <c r="C112" s="26">
        <v>1</v>
      </c>
      <c r="D112" s="26">
        <v>3</v>
      </c>
      <c r="E112" s="26">
        <v>253</v>
      </c>
      <c r="F112" s="66">
        <f t="shared" si="6"/>
        <v>1.1857707509881422E-2</v>
      </c>
      <c r="G112" s="30"/>
      <c r="H112" s="30"/>
      <c r="I112" s="30"/>
      <c r="J112" s="30"/>
      <c r="L112" s="3"/>
      <c r="M112" s="3"/>
      <c r="N112" s="3"/>
      <c r="O112" s="3"/>
      <c r="P112" s="3"/>
      <c r="Q112" s="3"/>
      <c r="R112" s="3"/>
      <c r="S112" s="3"/>
    </row>
    <row r="113" spans="1:17" x14ac:dyDescent="0.25">
      <c r="A113" s="26">
        <v>0.5</v>
      </c>
      <c r="B113" s="26">
        <v>7.5</v>
      </c>
      <c r="C113" s="26">
        <v>1.2</v>
      </c>
      <c r="D113" s="26">
        <v>0.5</v>
      </c>
      <c r="E113" s="26">
        <v>43</v>
      </c>
      <c r="F113" s="66">
        <f t="shared" si="6"/>
        <v>1.1627906976744186E-2</v>
      </c>
      <c r="G113" s="30"/>
      <c r="H113" s="30"/>
      <c r="I113" s="30"/>
      <c r="J113" s="30"/>
      <c r="L113" s="3"/>
      <c r="M113" s="3"/>
      <c r="N113" s="3"/>
      <c r="O113" s="3"/>
      <c r="P113" s="3"/>
      <c r="Q113" s="3"/>
    </row>
    <row r="114" spans="1:17" x14ac:dyDescent="0.25">
      <c r="A114" s="26">
        <v>0.5</v>
      </c>
      <c r="B114" s="26">
        <v>7.5</v>
      </c>
      <c r="C114" s="26">
        <v>1.2</v>
      </c>
      <c r="D114" s="26">
        <v>1</v>
      </c>
      <c r="E114" s="26">
        <v>86</v>
      </c>
      <c r="F114" s="66">
        <f t="shared" si="6"/>
        <v>1.1627906976744186E-2</v>
      </c>
      <c r="G114" s="30"/>
      <c r="H114" s="30"/>
      <c r="I114" s="30"/>
      <c r="J114" s="30"/>
      <c r="L114" s="72"/>
      <c r="M114" s="3"/>
      <c r="N114" s="3"/>
      <c r="O114" s="3"/>
      <c r="P114" s="3"/>
      <c r="Q114" s="3"/>
    </row>
    <row r="115" spans="1:17" x14ac:dyDescent="0.25">
      <c r="A115" s="26">
        <v>0.5</v>
      </c>
      <c r="B115" s="26">
        <v>7.5</v>
      </c>
      <c r="C115" s="26">
        <v>1.2</v>
      </c>
      <c r="D115" s="26">
        <v>1.5</v>
      </c>
      <c r="E115" s="26">
        <v>130</v>
      </c>
      <c r="F115" s="66">
        <f t="shared" si="6"/>
        <v>1.1538461538461539E-2</v>
      </c>
      <c r="G115" s="30"/>
      <c r="H115" s="30"/>
      <c r="I115" s="30"/>
      <c r="J115" s="30"/>
      <c r="L115" s="30"/>
      <c r="M115" s="30"/>
      <c r="N115" s="30"/>
      <c r="O115" s="30"/>
      <c r="P115" s="30"/>
      <c r="Q115" s="30"/>
    </row>
    <row r="116" spans="1:17" x14ac:dyDescent="0.25">
      <c r="A116" s="26">
        <v>0.5</v>
      </c>
      <c r="B116" s="26">
        <v>7.5</v>
      </c>
      <c r="C116" s="26">
        <v>1.2</v>
      </c>
      <c r="D116" s="26">
        <v>2</v>
      </c>
      <c r="E116" s="26">
        <v>173</v>
      </c>
      <c r="F116" s="66">
        <f t="shared" si="6"/>
        <v>1.1560693641618497E-2</v>
      </c>
      <c r="G116" s="30"/>
      <c r="H116" s="30"/>
      <c r="I116" s="30"/>
      <c r="J116" s="30"/>
      <c r="L116" s="3"/>
      <c r="M116" s="3"/>
      <c r="N116" s="3"/>
      <c r="O116" s="3"/>
      <c r="P116" s="3"/>
      <c r="Q116" s="3"/>
    </row>
    <row r="117" spans="1:17" x14ac:dyDescent="0.25">
      <c r="A117" s="26">
        <v>0.5</v>
      </c>
      <c r="B117" s="26">
        <v>7.5</v>
      </c>
      <c r="C117" s="26">
        <v>1.2</v>
      </c>
      <c r="D117" s="26">
        <v>2.5</v>
      </c>
      <c r="E117" s="26">
        <v>216</v>
      </c>
      <c r="F117" s="66">
        <f t="shared" si="6"/>
        <v>1.1574074074074073E-2</v>
      </c>
      <c r="G117" s="30"/>
      <c r="H117" s="30"/>
      <c r="I117" s="30"/>
      <c r="J117" s="30"/>
      <c r="L117" s="3"/>
      <c r="M117" s="3"/>
      <c r="N117" s="3"/>
      <c r="O117" s="3"/>
      <c r="P117" s="3"/>
      <c r="Q117" s="3"/>
    </row>
    <row r="118" spans="1:17" x14ac:dyDescent="0.25">
      <c r="A118" s="26">
        <v>0.5</v>
      </c>
      <c r="B118" s="26">
        <v>7.5</v>
      </c>
      <c r="C118" s="26">
        <v>1.2</v>
      </c>
      <c r="D118" s="26">
        <v>3</v>
      </c>
      <c r="E118" s="26">
        <v>259</v>
      </c>
      <c r="F118" s="66">
        <f t="shared" si="6"/>
        <v>1.1583011583011582E-2</v>
      </c>
      <c r="G118" s="30"/>
      <c r="H118" s="30"/>
      <c r="I118" s="30"/>
      <c r="J118" s="30"/>
      <c r="L118" s="3"/>
      <c r="M118" s="3"/>
      <c r="N118" s="3"/>
      <c r="O118" s="3"/>
      <c r="P118" s="3"/>
      <c r="Q118" s="3"/>
    </row>
    <row r="119" spans="1:17" x14ac:dyDescent="0.25">
      <c r="A119" s="26">
        <v>0.5</v>
      </c>
      <c r="B119" s="26">
        <v>7.5</v>
      </c>
      <c r="C119" s="26">
        <v>1.4</v>
      </c>
      <c r="D119" s="26">
        <v>0.5</v>
      </c>
      <c r="E119" s="26">
        <v>44</v>
      </c>
      <c r="F119" s="66">
        <f t="shared" si="6"/>
        <v>1.1363636363636364E-2</v>
      </c>
      <c r="G119" s="30"/>
      <c r="H119" s="30"/>
      <c r="I119" s="30"/>
      <c r="J119" s="30"/>
      <c r="L119" s="3"/>
      <c r="M119" s="3"/>
      <c r="N119" s="3"/>
      <c r="O119" s="3"/>
      <c r="P119" s="3"/>
      <c r="Q119" s="3"/>
    </row>
    <row r="120" spans="1:17" x14ac:dyDescent="0.25">
      <c r="A120" s="26">
        <v>0.5</v>
      </c>
      <c r="B120" s="26">
        <v>7.5</v>
      </c>
      <c r="C120" s="26">
        <v>1.4</v>
      </c>
      <c r="D120" s="26">
        <v>1</v>
      </c>
      <c r="E120" s="26">
        <v>89</v>
      </c>
      <c r="F120" s="66">
        <f t="shared" si="6"/>
        <v>1.1235955056179775E-2</v>
      </c>
      <c r="G120" s="30"/>
      <c r="H120" s="30"/>
      <c r="I120" s="30"/>
      <c r="J120" s="30"/>
      <c r="L120" s="3"/>
      <c r="M120" s="3"/>
      <c r="N120" s="3"/>
      <c r="O120" s="3"/>
      <c r="P120" s="3"/>
      <c r="Q120" s="3"/>
    </row>
    <row r="121" spans="1:17" x14ac:dyDescent="0.25">
      <c r="A121" s="26">
        <v>0.5</v>
      </c>
      <c r="B121" s="26">
        <v>7.5</v>
      </c>
      <c r="C121" s="26">
        <v>1.4</v>
      </c>
      <c r="D121" s="26">
        <v>1.5</v>
      </c>
      <c r="E121" s="26">
        <v>133</v>
      </c>
      <c r="F121" s="66">
        <f t="shared" si="6"/>
        <v>1.1278195488721804E-2</v>
      </c>
      <c r="G121" s="30"/>
      <c r="H121" s="30"/>
      <c r="I121" s="30"/>
      <c r="J121" s="30"/>
      <c r="L121" s="72"/>
      <c r="M121" s="3"/>
      <c r="N121" s="3"/>
      <c r="O121" s="3"/>
      <c r="P121" s="3"/>
      <c r="Q121" s="3"/>
    </row>
    <row r="122" spans="1:17" x14ac:dyDescent="0.25">
      <c r="A122" s="26">
        <v>0.5</v>
      </c>
      <c r="B122" s="26">
        <v>7.5</v>
      </c>
      <c r="C122" s="26">
        <v>1.4</v>
      </c>
      <c r="D122" s="26">
        <v>2</v>
      </c>
      <c r="E122" s="26">
        <v>177</v>
      </c>
      <c r="F122" s="66">
        <f t="shared" si="6"/>
        <v>1.1299435028248588E-2</v>
      </c>
      <c r="G122" s="30"/>
      <c r="H122" s="30"/>
      <c r="I122" s="30"/>
      <c r="J122" s="30"/>
      <c r="L122" s="30"/>
      <c r="M122" s="30"/>
      <c r="N122" s="30"/>
      <c r="O122" s="30"/>
      <c r="P122" s="30"/>
      <c r="Q122" s="30"/>
    </row>
    <row r="123" spans="1:17" x14ac:dyDescent="0.25">
      <c r="A123" s="26">
        <v>0.5</v>
      </c>
      <c r="B123" s="26">
        <v>7.5</v>
      </c>
      <c r="C123" s="26">
        <v>1.4</v>
      </c>
      <c r="D123" s="26">
        <v>2.5</v>
      </c>
      <c r="E123" s="26">
        <v>222</v>
      </c>
      <c r="F123" s="66">
        <f t="shared" si="6"/>
        <v>1.1261261261261261E-2</v>
      </c>
      <c r="G123" s="30"/>
      <c r="H123" s="30"/>
      <c r="I123" s="30"/>
      <c r="J123" s="30"/>
      <c r="L123" s="3"/>
      <c r="M123" s="3"/>
      <c r="N123" s="3"/>
      <c r="O123" s="3"/>
      <c r="P123" s="3"/>
      <c r="Q123" s="3"/>
    </row>
    <row r="124" spans="1:17" x14ac:dyDescent="0.25">
      <c r="A124" s="26">
        <v>0.5</v>
      </c>
      <c r="B124" s="26">
        <v>7.5</v>
      </c>
      <c r="C124" s="26">
        <v>1.4</v>
      </c>
      <c r="D124" s="26">
        <v>3</v>
      </c>
      <c r="E124" s="26">
        <v>266</v>
      </c>
      <c r="F124" s="66">
        <f t="shared" si="6"/>
        <v>1.1278195488721804E-2</v>
      </c>
      <c r="G124" s="30"/>
      <c r="H124" s="30"/>
      <c r="I124" s="30"/>
      <c r="J124" s="30"/>
      <c r="L124" s="3"/>
      <c r="M124" s="3"/>
      <c r="N124" s="3"/>
      <c r="O124" s="3"/>
      <c r="P124" s="3"/>
      <c r="Q124" s="3"/>
    </row>
    <row r="125" spans="1:17" x14ac:dyDescent="0.25">
      <c r="A125" s="26">
        <v>0.5</v>
      </c>
      <c r="B125" s="26">
        <v>7.5</v>
      </c>
      <c r="C125" s="26">
        <v>1.6</v>
      </c>
      <c r="D125" s="26">
        <v>0.5</v>
      </c>
      <c r="E125" s="26">
        <v>46</v>
      </c>
      <c r="F125" s="66">
        <f t="shared" si="6"/>
        <v>1.0869565217391304E-2</v>
      </c>
      <c r="G125" s="30"/>
      <c r="H125" s="30"/>
      <c r="I125" s="30"/>
      <c r="J125" s="30"/>
      <c r="L125" s="3"/>
      <c r="M125" s="3"/>
      <c r="N125" s="3"/>
      <c r="O125" s="3"/>
      <c r="P125" s="3"/>
      <c r="Q125" s="3"/>
    </row>
    <row r="126" spans="1:17" x14ac:dyDescent="0.25">
      <c r="A126" s="26">
        <v>0.5</v>
      </c>
      <c r="B126" s="26">
        <v>7.5</v>
      </c>
      <c r="C126" s="26">
        <v>1.6</v>
      </c>
      <c r="D126" s="26">
        <v>1</v>
      </c>
      <c r="E126" s="26">
        <v>91</v>
      </c>
      <c r="F126" s="66">
        <f t="shared" si="6"/>
        <v>1.098901098901099E-2</v>
      </c>
      <c r="G126" s="30"/>
      <c r="H126" s="30"/>
      <c r="I126" s="30"/>
      <c r="J126" s="30"/>
    </row>
    <row r="127" spans="1:17" x14ac:dyDescent="0.25">
      <c r="A127" s="26">
        <v>0.5</v>
      </c>
      <c r="B127" s="26">
        <v>7.5</v>
      </c>
      <c r="C127" s="26">
        <v>1.6</v>
      </c>
      <c r="D127" s="26">
        <v>1.5</v>
      </c>
      <c r="E127" s="26">
        <v>137</v>
      </c>
      <c r="F127" s="66">
        <f t="shared" si="6"/>
        <v>1.0948905109489052E-2</v>
      </c>
      <c r="G127" s="30"/>
      <c r="H127" s="30"/>
      <c r="I127" s="30"/>
      <c r="J127" s="30"/>
    </row>
    <row r="128" spans="1:17" x14ac:dyDescent="0.25">
      <c r="A128" s="26">
        <v>0.5</v>
      </c>
      <c r="B128" s="26">
        <v>7.5</v>
      </c>
      <c r="C128" s="26">
        <v>1.6</v>
      </c>
      <c r="D128" s="26">
        <v>2</v>
      </c>
      <c r="E128" s="26">
        <v>182</v>
      </c>
      <c r="F128" s="66">
        <f t="shared" si="6"/>
        <v>1.098901098901099E-2</v>
      </c>
      <c r="G128" s="30"/>
      <c r="H128" s="30"/>
      <c r="I128" s="30"/>
      <c r="J128" s="30"/>
    </row>
    <row r="129" spans="1:10" x14ac:dyDescent="0.25">
      <c r="A129" s="26">
        <v>0.5</v>
      </c>
      <c r="B129" s="26">
        <v>7.5</v>
      </c>
      <c r="C129" s="26">
        <v>1.6</v>
      </c>
      <c r="D129" s="26">
        <v>2.5</v>
      </c>
      <c r="E129" s="26">
        <v>228</v>
      </c>
      <c r="F129" s="66">
        <f t="shared" si="6"/>
        <v>1.0964912280701754E-2</v>
      </c>
      <c r="G129" s="30"/>
      <c r="H129" s="30"/>
      <c r="I129" s="30"/>
      <c r="J129" s="30"/>
    </row>
    <row r="130" spans="1:10" x14ac:dyDescent="0.25">
      <c r="A130" s="26">
        <v>0.5</v>
      </c>
      <c r="B130" s="26">
        <v>7.5</v>
      </c>
      <c r="C130" s="26">
        <v>1.6</v>
      </c>
      <c r="D130" s="26">
        <v>3</v>
      </c>
      <c r="E130" s="26">
        <v>273</v>
      </c>
      <c r="F130" s="66">
        <f t="shared" si="6"/>
        <v>1.098901098901099E-2</v>
      </c>
      <c r="G130" s="30"/>
      <c r="H130" s="30"/>
      <c r="I130" s="30"/>
      <c r="J130" s="30"/>
    </row>
    <row r="131" spans="1:10" x14ac:dyDescent="0.25">
      <c r="A131" s="26">
        <v>0.5</v>
      </c>
      <c r="B131" s="26">
        <v>7.5</v>
      </c>
      <c r="C131" s="26">
        <v>1.8</v>
      </c>
      <c r="D131" s="26">
        <v>0.5</v>
      </c>
      <c r="E131" s="26">
        <v>47</v>
      </c>
      <c r="F131" s="66">
        <f t="shared" si="6"/>
        <v>1.0638297872340425E-2</v>
      </c>
      <c r="G131" s="30"/>
      <c r="H131" s="30"/>
      <c r="I131" s="30"/>
      <c r="J131" s="30"/>
    </row>
    <row r="132" spans="1:10" x14ac:dyDescent="0.25">
      <c r="A132" s="26">
        <v>0.5</v>
      </c>
      <c r="B132" s="26">
        <v>7.5</v>
      </c>
      <c r="C132" s="26">
        <v>1.8</v>
      </c>
      <c r="D132" s="26">
        <v>1</v>
      </c>
      <c r="E132" s="26">
        <v>93</v>
      </c>
      <c r="F132" s="66">
        <f t="shared" si="6"/>
        <v>1.0752688172043012E-2</v>
      </c>
      <c r="G132" s="30"/>
      <c r="H132" s="30"/>
      <c r="I132" s="30"/>
      <c r="J132" s="30"/>
    </row>
    <row r="133" spans="1:10" x14ac:dyDescent="0.25">
      <c r="A133" s="26">
        <v>0.5</v>
      </c>
      <c r="B133" s="26">
        <v>7.5</v>
      </c>
      <c r="C133" s="26">
        <v>1.8</v>
      </c>
      <c r="D133" s="26">
        <v>1.5</v>
      </c>
      <c r="E133" s="26">
        <v>140</v>
      </c>
      <c r="F133" s="66">
        <f t="shared" ref="F133:F196" si="7">D133/E133</f>
        <v>1.0714285714285714E-2</v>
      </c>
      <c r="G133" s="30"/>
      <c r="H133" s="30"/>
      <c r="I133" s="30"/>
      <c r="J133" s="30"/>
    </row>
    <row r="134" spans="1:10" x14ac:dyDescent="0.25">
      <c r="A134" s="26">
        <v>0.5</v>
      </c>
      <c r="B134" s="26">
        <v>7.5</v>
      </c>
      <c r="C134" s="26">
        <v>1.8</v>
      </c>
      <c r="D134" s="26">
        <v>2</v>
      </c>
      <c r="E134" s="26">
        <v>186</v>
      </c>
      <c r="F134" s="66">
        <f t="shared" si="7"/>
        <v>1.0752688172043012E-2</v>
      </c>
      <c r="G134" s="30"/>
      <c r="H134" s="30"/>
      <c r="I134" s="30"/>
      <c r="J134" s="30"/>
    </row>
    <row r="135" spans="1:10" x14ac:dyDescent="0.25">
      <c r="A135" s="26">
        <v>0.5</v>
      </c>
      <c r="B135" s="26">
        <v>7.5</v>
      </c>
      <c r="C135" s="26">
        <v>1.8</v>
      </c>
      <c r="D135" s="26">
        <v>2.5</v>
      </c>
      <c r="E135" s="26">
        <v>233</v>
      </c>
      <c r="F135" s="66">
        <f t="shared" si="7"/>
        <v>1.0729613733905579E-2</v>
      </c>
      <c r="G135" s="30"/>
      <c r="H135" s="30"/>
      <c r="I135" s="30"/>
      <c r="J135" s="30"/>
    </row>
    <row r="136" spans="1:10" x14ac:dyDescent="0.25">
      <c r="A136" s="26">
        <v>0.5</v>
      </c>
      <c r="B136" s="26">
        <v>7.5</v>
      </c>
      <c r="C136" s="26">
        <v>1.8</v>
      </c>
      <c r="D136" s="26">
        <v>3</v>
      </c>
      <c r="E136" s="26">
        <v>279</v>
      </c>
      <c r="F136" s="66">
        <f t="shared" si="7"/>
        <v>1.0752688172043012E-2</v>
      </c>
      <c r="G136" s="30"/>
      <c r="H136" s="30"/>
      <c r="I136" s="30"/>
      <c r="J136" s="30"/>
    </row>
    <row r="137" spans="1:10" x14ac:dyDescent="0.25">
      <c r="A137" s="26">
        <v>0.5</v>
      </c>
      <c r="B137" s="26">
        <v>7.5</v>
      </c>
      <c r="C137" s="26">
        <v>2</v>
      </c>
      <c r="D137" s="26">
        <v>0.5</v>
      </c>
      <c r="E137" s="26">
        <v>48</v>
      </c>
      <c r="F137" s="66">
        <f t="shared" si="7"/>
        <v>1.0416666666666666E-2</v>
      </c>
      <c r="G137" s="30"/>
      <c r="H137" s="30"/>
      <c r="I137" s="30"/>
      <c r="J137" s="30"/>
    </row>
    <row r="138" spans="1:10" x14ac:dyDescent="0.25">
      <c r="A138" s="26">
        <v>0.5</v>
      </c>
      <c r="B138" s="26">
        <v>7.5</v>
      </c>
      <c r="C138" s="26">
        <v>2</v>
      </c>
      <c r="D138" s="26">
        <v>1</v>
      </c>
      <c r="E138" s="26">
        <v>95</v>
      </c>
      <c r="F138" s="66">
        <f t="shared" si="7"/>
        <v>1.0526315789473684E-2</v>
      </c>
      <c r="G138" s="30"/>
      <c r="H138" s="30"/>
      <c r="I138" s="30"/>
      <c r="J138" s="30"/>
    </row>
    <row r="139" spans="1:10" x14ac:dyDescent="0.25">
      <c r="A139" s="26">
        <v>0.5</v>
      </c>
      <c r="B139" s="26">
        <v>7.5</v>
      </c>
      <c r="C139" s="26">
        <v>2</v>
      </c>
      <c r="D139" s="26">
        <v>1.5</v>
      </c>
      <c r="E139" s="26">
        <v>143</v>
      </c>
      <c r="F139" s="66">
        <f t="shared" si="7"/>
        <v>1.048951048951049E-2</v>
      </c>
      <c r="G139" s="30"/>
      <c r="H139" s="30"/>
      <c r="I139" s="30"/>
      <c r="J139" s="30"/>
    </row>
    <row r="140" spans="1:10" x14ac:dyDescent="0.25">
      <c r="A140" s="26">
        <v>0.5</v>
      </c>
      <c r="B140" s="26">
        <v>7.5</v>
      </c>
      <c r="C140" s="26">
        <v>2</v>
      </c>
      <c r="D140" s="26">
        <v>2</v>
      </c>
      <c r="E140" s="26">
        <v>191</v>
      </c>
      <c r="F140" s="66">
        <f t="shared" si="7"/>
        <v>1.0471204188481676E-2</v>
      </c>
      <c r="G140" s="30"/>
      <c r="H140" s="30"/>
      <c r="I140" s="30"/>
      <c r="J140" s="30"/>
    </row>
    <row r="141" spans="1:10" x14ac:dyDescent="0.25">
      <c r="A141" s="26">
        <v>0.5</v>
      </c>
      <c r="B141" s="26">
        <v>7.5</v>
      </c>
      <c r="C141" s="26">
        <v>2</v>
      </c>
      <c r="D141" s="26">
        <v>2.5</v>
      </c>
      <c r="E141" s="26">
        <v>238</v>
      </c>
      <c r="F141" s="66">
        <f t="shared" si="7"/>
        <v>1.050420168067227E-2</v>
      </c>
      <c r="G141" s="30"/>
      <c r="H141" s="30"/>
      <c r="I141" s="30"/>
      <c r="J141" s="30"/>
    </row>
    <row r="142" spans="1:10" x14ac:dyDescent="0.25">
      <c r="A142" s="26">
        <v>0.5</v>
      </c>
      <c r="B142" s="26">
        <v>7.5</v>
      </c>
      <c r="C142" s="26">
        <v>2</v>
      </c>
      <c r="D142" s="26">
        <v>3</v>
      </c>
      <c r="E142" s="26">
        <v>286</v>
      </c>
      <c r="F142" s="66">
        <f t="shared" si="7"/>
        <v>1.048951048951049E-2</v>
      </c>
      <c r="G142" s="30"/>
      <c r="H142" s="30"/>
      <c r="I142" s="30"/>
      <c r="J142" s="30"/>
    </row>
    <row r="143" spans="1:10" x14ac:dyDescent="0.25">
      <c r="A143" s="26">
        <v>0.5</v>
      </c>
      <c r="B143" s="26">
        <v>7.5</v>
      </c>
      <c r="C143" s="26">
        <v>2.2000000000000002</v>
      </c>
      <c r="D143" s="26">
        <v>0.5</v>
      </c>
      <c r="E143" s="26">
        <v>50</v>
      </c>
      <c r="F143" s="66">
        <f t="shared" si="7"/>
        <v>0.01</v>
      </c>
      <c r="G143" s="30"/>
      <c r="H143" s="30"/>
      <c r="I143" s="30"/>
      <c r="J143" s="30"/>
    </row>
    <row r="144" spans="1:10" x14ac:dyDescent="0.25">
      <c r="A144" s="26">
        <v>0.5</v>
      </c>
      <c r="B144" s="26">
        <v>7.5</v>
      </c>
      <c r="C144" s="26">
        <v>2.2000000000000002</v>
      </c>
      <c r="D144" s="26">
        <v>1</v>
      </c>
      <c r="E144" s="26">
        <v>99</v>
      </c>
      <c r="F144" s="66">
        <f t="shared" si="7"/>
        <v>1.0101010101010102E-2</v>
      </c>
      <c r="G144" s="30"/>
      <c r="H144" s="30"/>
      <c r="I144" s="30"/>
      <c r="J144" s="30"/>
    </row>
    <row r="145" spans="1:10" x14ac:dyDescent="0.25">
      <c r="A145" s="26">
        <v>0.5</v>
      </c>
      <c r="B145" s="26">
        <v>7.5</v>
      </c>
      <c r="C145" s="26">
        <v>2.2000000000000002</v>
      </c>
      <c r="D145" s="26">
        <v>1.5</v>
      </c>
      <c r="E145" s="26">
        <v>149</v>
      </c>
      <c r="F145" s="66">
        <f t="shared" si="7"/>
        <v>1.0067114093959731E-2</v>
      </c>
      <c r="G145" s="30"/>
      <c r="H145" s="30"/>
      <c r="I145" s="30"/>
      <c r="J145" s="30"/>
    </row>
    <row r="146" spans="1:10" x14ac:dyDescent="0.25">
      <c r="A146" s="26">
        <v>0.5</v>
      </c>
      <c r="B146" s="26">
        <v>7.5</v>
      </c>
      <c r="C146" s="26">
        <v>2.2000000000000002</v>
      </c>
      <c r="D146" s="26">
        <v>2</v>
      </c>
      <c r="E146" s="26">
        <v>198</v>
      </c>
      <c r="F146" s="66">
        <f t="shared" si="7"/>
        <v>1.0101010101010102E-2</v>
      </c>
      <c r="G146" s="30"/>
      <c r="H146" s="30"/>
      <c r="I146" s="30"/>
      <c r="J146" s="30"/>
    </row>
    <row r="147" spans="1:10" x14ac:dyDescent="0.25">
      <c r="A147" s="26">
        <v>0.5</v>
      </c>
      <c r="B147" s="26">
        <v>7.5</v>
      </c>
      <c r="C147" s="26">
        <v>2.2000000000000002</v>
      </c>
      <c r="D147" s="26">
        <v>2.5</v>
      </c>
      <c r="E147" s="26">
        <v>248</v>
      </c>
      <c r="F147" s="66">
        <f t="shared" si="7"/>
        <v>1.0080645161290322E-2</v>
      </c>
      <c r="G147" s="30"/>
      <c r="H147" s="30"/>
      <c r="I147" s="30"/>
      <c r="J147" s="30"/>
    </row>
    <row r="148" spans="1:10" x14ac:dyDescent="0.25">
      <c r="A148" s="26">
        <v>0.5</v>
      </c>
      <c r="B148" s="26">
        <v>7.5</v>
      </c>
      <c r="C148" s="26">
        <v>2.2000000000000002</v>
      </c>
      <c r="D148" s="26">
        <v>3</v>
      </c>
      <c r="E148" s="26">
        <v>297</v>
      </c>
      <c r="F148" s="66">
        <f t="shared" si="7"/>
        <v>1.0101010101010102E-2</v>
      </c>
      <c r="G148" s="30"/>
      <c r="H148" s="30"/>
      <c r="I148" s="30"/>
      <c r="J148" s="30"/>
    </row>
    <row r="149" spans="1:10" x14ac:dyDescent="0.25">
      <c r="A149" s="26">
        <v>0.5</v>
      </c>
      <c r="B149" s="26">
        <v>7.5</v>
      </c>
      <c r="C149" s="26">
        <v>2.4</v>
      </c>
      <c r="D149" s="26">
        <v>0.5</v>
      </c>
      <c r="E149" s="26">
        <v>50</v>
      </c>
      <c r="F149" s="66">
        <f t="shared" si="7"/>
        <v>0.01</v>
      </c>
      <c r="G149" s="30"/>
      <c r="H149" s="30"/>
      <c r="I149" s="30"/>
      <c r="J149" s="30"/>
    </row>
    <row r="150" spans="1:10" x14ac:dyDescent="0.25">
      <c r="A150" s="26">
        <v>0.5</v>
      </c>
      <c r="B150" s="26">
        <v>7.5</v>
      </c>
      <c r="C150" s="26">
        <v>2.4</v>
      </c>
      <c r="D150" s="26">
        <v>1</v>
      </c>
      <c r="E150" s="26">
        <v>99</v>
      </c>
      <c r="F150" s="66">
        <f t="shared" si="7"/>
        <v>1.0101010101010102E-2</v>
      </c>
      <c r="G150" s="30"/>
      <c r="H150" s="30"/>
      <c r="I150" s="30"/>
      <c r="J150" s="30"/>
    </row>
    <row r="151" spans="1:10" x14ac:dyDescent="0.25">
      <c r="A151" s="26">
        <v>0.5</v>
      </c>
      <c r="B151" s="26">
        <v>7.5</v>
      </c>
      <c r="C151" s="26">
        <v>2.4</v>
      </c>
      <c r="D151" s="26">
        <v>1.5</v>
      </c>
      <c r="E151" s="26">
        <v>149</v>
      </c>
      <c r="F151" s="66">
        <f t="shared" si="7"/>
        <v>1.0067114093959731E-2</v>
      </c>
      <c r="G151" s="30"/>
      <c r="H151" s="30"/>
      <c r="I151" s="30"/>
      <c r="J151" s="30"/>
    </row>
    <row r="152" spans="1:10" x14ac:dyDescent="0.25">
      <c r="A152" s="26">
        <v>0.5</v>
      </c>
      <c r="B152" s="26">
        <v>7.5</v>
      </c>
      <c r="C152" s="26">
        <v>2.4</v>
      </c>
      <c r="D152" s="26">
        <v>2</v>
      </c>
      <c r="E152" s="26">
        <v>199</v>
      </c>
      <c r="F152" s="66">
        <f t="shared" si="7"/>
        <v>1.0050251256281407E-2</v>
      </c>
      <c r="G152" s="30"/>
      <c r="H152" s="30"/>
      <c r="I152" s="30"/>
      <c r="J152" s="30"/>
    </row>
    <row r="153" spans="1:10" x14ac:dyDescent="0.25">
      <c r="A153" s="26">
        <v>0.5</v>
      </c>
      <c r="B153" s="26">
        <v>7.5</v>
      </c>
      <c r="C153" s="26">
        <v>2.4</v>
      </c>
      <c r="D153" s="26">
        <v>2.5</v>
      </c>
      <c r="E153" s="26">
        <v>248</v>
      </c>
      <c r="F153" s="66">
        <f t="shared" si="7"/>
        <v>1.0080645161290322E-2</v>
      </c>
      <c r="G153" s="30"/>
      <c r="H153" s="30"/>
      <c r="I153" s="30"/>
      <c r="J153" s="30"/>
    </row>
    <row r="154" spans="1:10" x14ac:dyDescent="0.25">
      <c r="A154" s="26">
        <v>0.5</v>
      </c>
      <c r="B154" s="26">
        <v>7.5</v>
      </c>
      <c r="C154" s="26">
        <v>2.4</v>
      </c>
      <c r="D154" s="26">
        <v>3</v>
      </c>
      <c r="E154" s="26">
        <v>298</v>
      </c>
      <c r="F154" s="66">
        <f t="shared" si="7"/>
        <v>1.0067114093959731E-2</v>
      </c>
      <c r="G154" s="30"/>
      <c r="H154" s="30"/>
      <c r="I154" s="30"/>
      <c r="J154" s="30"/>
    </row>
    <row r="155" spans="1:10" x14ac:dyDescent="0.25">
      <c r="A155" s="26">
        <v>0.5</v>
      </c>
      <c r="B155" s="26">
        <v>7.5</v>
      </c>
      <c r="C155" s="26">
        <v>2.6</v>
      </c>
      <c r="D155" s="26">
        <v>0.5</v>
      </c>
      <c r="E155" s="26">
        <v>51</v>
      </c>
      <c r="F155" s="66">
        <f t="shared" si="7"/>
        <v>9.8039215686274508E-3</v>
      </c>
      <c r="G155" s="30"/>
      <c r="H155" s="30"/>
      <c r="I155" s="30"/>
      <c r="J155" s="30"/>
    </row>
    <row r="156" spans="1:10" x14ac:dyDescent="0.25">
      <c r="A156" s="26">
        <v>0.5</v>
      </c>
      <c r="B156" s="26">
        <v>7.5</v>
      </c>
      <c r="C156" s="26">
        <v>2.6</v>
      </c>
      <c r="D156" s="26">
        <v>1</v>
      </c>
      <c r="E156" s="26">
        <v>101</v>
      </c>
      <c r="F156" s="66">
        <f t="shared" si="7"/>
        <v>9.9009900990099011E-3</v>
      </c>
      <c r="G156" s="30"/>
      <c r="H156" s="30"/>
      <c r="I156" s="30"/>
      <c r="J156" s="30"/>
    </row>
    <row r="157" spans="1:10" x14ac:dyDescent="0.25">
      <c r="A157" s="26">
        <v>0.5</v>
      </c>
      <c r="B157" s="26">
        <v>7.5</v>
      </c>
      <c r="C157" s="26">
        <v>2.6</v>
      </c>
      <c r="D157" s="26">
        <v>1.5</v>
      </c>
      <c r="E157" s="26">
        <v>152</v>
      </c>
      <c r="F157" s="66">
        <f t="shared" si="7"/>
        <v>9.8684210526315784E-3</v>
      </c>
      <c r="G157" s="30"/>
      <c r="H157" s="30"/>
      <c r="I157" s="30"/>
      <c r="J157" s="30"/>
    </row>
    <row r="158" spans="1:10" x14ac:dyDescent="0.25">
      <c r="A158" s="26">
        <v>0.5</v>
      </c>
      <c r="B158" s="26">
        <v>7.5</v>
      </c>
      <c r="C158" s="26">
        <v>2.6</v>
      </c>
      <c r="D158" s="26">
        <v>2</v>
      </c>
      <c r="E158" s="26">
        <v>203</v>
      </c>
      <c r="F158" s="66">
        <f t="shared" si="7"/>
        <v>9.852216748768473E-3</v>
      </c>
      <c r="G158" s="30"/>
      <c r="H158" s="30"/>
      <c r="I158" s="30"/>
      <c r="J158" s="30"/>
    </row>
    <row r="159" spans="1:10" x14ac:dyDescent="0.25">
      <c r="A159" s="26">
        <v>0.5</v>
      </c>
      <c r="B159" s="26">
        <v>7.5</v>
      </c>
      <c r="C159" s="26">
        <v>2.6</v>
      </c>
      <c r="D159" s="26">
        <v>2.5</v>
      </c>
      <c r="E159" s="26">
        <v>253</v>
      </c>
      <c r="F159" s="66">
        <f t="shared" si="7"/>
        <v>9.881422924901186E-3</v>
      </c>
      <c r="G159" s="30"/>
      <c r="H159" s="30"/>
      <c r="I159" s="30"/>
      <c r="J159" s="30"/>
    </row>
    <row r="160" spans="1:10" x14ac:dyDescent="0.25">
      <c r="A160" s="26">
        <v>0.5</v>
      </c>
      <c r="B160" s="26">
        <v>7.5</v>
      </c>
      <c r="C160" s="26">
        <v>2.6</v>
      </c>
      <c r="D160" s="26">
        <v>3</v>
      </c>
      <c r="E160" s="26">
        <v>304</v>
      </c>
      <c r="F160" s="66">
        <f t="shared" si="7"/>
        <v>9.8684210526315784E-3</v>
      </c>
      <c r="G160" s="30"/>
      <c r="H160" s="30"/>
      <c r="I160" s="30"/>
      <c r="J160" s="30"/>
    </row>
    <row r="161" spans="1:10" x14ac:dyDescent="0.25">
      <c r="A161" s="26">
        <v>0.5</v>
      </c>
      <c r="B161" s="26">
        <v>7.5</v>
      </c>
      <c r="C161" s="26">
        <v>2.8</v>
      </c>
      <c r="D161" s="26">
        <v>0.5</v>
      </c>
      <c r="E161" s="26">
        <v>52</v>
      </c>
      <c r="F161" s="66">
        <f t="shared" si="7"/>
        <v>9.6153846153846159E-3</v>
      </c>
      <c r="G161" s="30"/>
      <c r="H161" s="30"/>
      <c r="I161" s="30"/>
      <c r="J161" s="30"/>
    </row>
    <row r="162" spans="1:10" x14ac:dyDescent="0.25">
      <c r="A162" s="26">
        <v>0.5</v>
      </c>
      <c r="B162" s="26">
        <v>7.5</v>
      </c>
      <c r="C162" s="26">
        <v>2.8</v>
      </c>
      <c r="D162" s="26">
        <v>1</v>
      </c>
      <c r="E162" s="26">
        <v>103</v>
      </c>
      <c r="F162" s="66">
        <f t="shared" si="7"/>
        <v>9.7087378640776691E-3</v>
      </c>
      <c r="G162" s="30"/>
      <c r="H162" s="30"/>
      <c r="I162" s="30"/>
      <c r="J162" s="30"/>
    </row>
    <row r="163" spans="1:10" x14ac:dyDescent="0.25">
      <c r="A163" s="26">
        <v>0.5</v>
      </c>
      <c r="B163" s="26">
        <v>7.5</v>
      </c>
      <c r="C163" s="26">
        <v>2.8</v>
      </c>
      <c r="D163" s="26">
        <v>1.5</v>
      </c>
      <c r="E163" s="26">
        <v>155</v>
      </c>
      <c r="F163" s="66">
        <f t="shared" si="7"/>
        <v>9.6774193548387101E-3</v>
      </c>
      <c r="G163" s="30"/>
      <c r="H163" s="30"/>
      <c r="I163" s="30"/>
      <c r="J163" s="30"/>
    </row>
    <row r="164" spans="1:10" x14ac:dyDescent="0.25">
      <c r="A164" s="26">
        <v>0.5</v>
      </c>
      <c r="B164" s="26">
        <v>7.5</v>
      </c>
      <c r="C164" s="26">
        <v>2.8</v>
      </c>
      <c r="D164" s="26">
        <v>2</v>
      </c>
      <c r="E164" s="26">
        <v>207</v>
      </c>
      <c r="F164" s="66">
        <f t="shared" si="7"/>
        <v>9.6618357487922701E-3</v>
      </c>
      <c r="G164" s="30"/>
      <c r="H164" s="30"/>
      <c r="I164" s="30"/>
      <c r="J164" s="30"/>
    </row>
    <row r="165" spans="1:10" x14ac:dyDescent="0.25">
      <c r="A165" s="26">
        <v>0.5</v>
      </c>
      <c r="B165" s="26">
        <v>7.5</v>
      </c>
      <c r="C165" s="26">
        <v>2.8</v>
      </c>
      <c r="D165" s="26">
        <v>2.5</v>
      </c>
      <c r="E165" s="26">
        <v>258</v>
      </c>
      <c r="F165" s="66">
        <f t="shared" si="7"/>
        <v>9.6899224806201549E-3</v>
      </c>
      <c r="G165" s="30"/>
      <c r="H165" s="30"/>
      <c r="I165" s="30"/>
      <c r="J165" s="30"/>
    </row>
    <row r="166" spans="1:10" x14ac:dyDescent="0.25">
      <c r="A166" s="26">
        <v>0.5</v>
      </c>
      <c r="B166" s="26">
        <v>7.5</v>
      </c>
      <c r="C166" s="26">
        <v>2.8</v>
      </c>
      <c r="D166" s="26">
        <v>3</v>
      </c>
      <c r="E166" s="26">
        <v>310</v>
      </c>
      <c r="F166" s="66">
        <f t="shared" si="7"/>
        <v>9.6774193548387101E-3</v>
      </c>
      <c r="G166" s="30"/>
      <c r="H166" s="30"/>
      <c r="I166" s="30"/>
      <c r="J166" s="30"/>
    </row>
    <row r="167" spans="1:10" x14ac:dyDescent="0.25">
      <c r="A167" s="26">
        <v>0.5</v>
      </c>
      <c r="B167" s="26">
        <v>7.5</v>
      </c>
      <c r="C167" s="26">
        <v>3</v>
      </c>
      <c r="D167" s="26">
        <v>0.5</v>
      </c>
      <c r="E167" s="26">
        <v>53</v>
      </c>
      <c r="F167" s="66">
        <f t="shared" si="7"/>
        <v>9.433962264150943E-3</v>
      </c>
      <c r="G167" s="30"/>
      <c r="H167" s="30"/>
      <c r="I167" s="30"/>
      <c r="J167" s="30"/>
    </row>
    <row r="168" spans="1:10" x14ac:dyDescent="0.25">
      <c r="A168" s="26">
        <v>0.5</v>
      </c>
      <c r="B168" s="26">
        <v>7.5</v>
      </c>
      <c r="C168" s="26">
        <v>3</v>
      </c>
      <c r="D168" s="26">
        <v>1</v>
      </c>
      <c r="E168" s="26">
        <v>105</v>
      </c>
      <c r="F168" s="66">
        <f t="shared" si="7"/>
        <v>9.5238095238095247E-3</v>
      </c>
      <c r="G168" s="30"/>
      <c r="H168" s="30"/>
      <c r="I168" s="30"/>
      <c r="J168" s="30"/>
    </row>
    <row r="169" spans="1:10" x14ac:dyDescent="0.25">
      <c r="A169" s="26">
        <v>0.5</v>
      </c>
      <c r="B169" s="26">
        <v>7.5</v>
      </c>
      <c r="C169" s="26">
        <v>3</v>
      </c>
      <c r="D169" s="26">
        <v>1.5</v>
      </c>
      <c r="E169" s="26">
        <v>158</v>
      </c>
      <c r="F169" s="66">
        <f t="shared" si="7"/>
        <v>9.4936708860759497E-3</v>
      </c>
      <c r="G169" s="30"/>
      <c r="H169" s="30"/>
      <c r="I169" s="30"/>
      <c r="J169" s="30"/>
    </row>
    <row r="170" spans="1:10" x14ac:dyDescent="0.25">
      <c r="A170" s="26">
        <v>0.5</v>
      </c>
      <c r="B170" s="26">
        <v>7.5</v>
      </c>
      <c r="C170" s="26">
        <v>3</v>
      </c>
      <c r="D170" s="26">
        <v>2</v>
      </c>
      <c r="E170" s="26">
        <v>211</v>
      </c>
      <c r="F170" s="66">
        <f t="shared" si="7"/>
        <v>9.4786729857819912E-3</v>
      </c>
      <c r="G170" s="30"/>
      <c r="H170" s="30"/>
      <c r="I170" s="30"/>
      <c r="J170" s="30"/>
    </row>
    <row r="171" spans="1:10" x14ac:dyDescent="0.25">
      <c r="A171" s="26">
        <v>0.5</v>
      </c>
      <c r="B171" s="26">
        <v>7.5</v>
      </c>
      <c r="C171" s="26">
        <v>3</v>
      </c>
      <c r="D171" s="26">
        <v>2.5</v>
      </c>
      <c r="E171" s="26">
        <v>263</v>
      </c>
      <c r="F171" s="66">
        <f t="shared" si="7"/>
        <v>9.5057034220532317E-3</v>
      </c>
      <c r="G171" s="30"/>
      <c r="H171" s="30"/>
      <c r="I171" s="30"/>
      <c r="J171" s="30"/>
    </row>
    <row r="172" spans="1:10" x14ac:dyDescent="0.25">
      <c r="A172" s="73">
        <v>0.5</v>
      </c>
      <c r="B172" s="73">
        <v>7.5</v>
      </c>
      <c r="C172" s="73">
        <v>3</v>
      </c>
      <c r="D172" s="73">
        <v>3</v>
      </c>
      <c r="E172" s="73">
        <v>316</v>
      </c>
      <c r="F172" s="74">
        <f t="shared" si="7"/>
        <v>9.4936708860759497E-3</v>
      </c>
      <c r="G172" s="30"/>
      <c r="H172" s="30"/>
      <c r="I172" s="30"/>
      <c r="J172" s="30"/>
    </row>
    <row r="173" spans="1:10" x14ac:dyDescent="0.25">
      <c r="A173" s="26">
        <v>0.5</v>
      </c>
      <c r="B173" s="26">
        <v>8</v>
      </c>
      <c r="C173" s="39">
        <v>0.4</v>
      </c>
      <c r="D173" s="26">
        <v>0.5</v>
      </c>
      <c r="E173" s="26">
        <v>46</v>
      </c>
      <c r="F173" s="66">
        <f t="shared" si="7"/>
        <v>1.0869565217391304E-2</v>
      </c>
      <c r="I173" s="30"/>
      <c r="J173" s="30"/>
    </row>
    <row r="174" spans="1:10" x14ac:dyDescent="0.25">
      <c r="A174" s="26">
        <v>0.5</v>
      </c>
      <c r="B174" s="26">
        <v>8</v>
      </c>
      <c r="C174" s="39">
        <v>0.4</v>
      </c>
      <c r="D174" s="26">
        <v>1</v>
      </c>
      <c r="E174" s="26">
        <v>92</v>
      </c>
      <c r="F174" s="66">
        <f t="shared" si="7"/>
        <v>1.0869565217391304E-2</v>
      </c>
      <c r="I174" s="30"/>
      <c r="J174" s="30"/>
    </row>
    <row r="175" spans="1:10" x14ac:dyDescent="0.25">
      <c r="A175" s="26">
        <v>0.5</v>
      </c>
      <c r="B175" s="26">
        <v>8</v>
      </c>
      <c r="C175" s="39">
        <v>0.4</v>
      </c>
      <c r="D175" s="26">
        <v>1.5</v>
      </c>
      <c r="E175" s="26">
        <v>139</v>
      </c>
      <c r="F175" s="66">
        <f t="shared" si="7"/>
        <v>1.0791366906474821E-2</v>
      </c>
      <c r="I175" s="30"/>
      <c r="J175" s="30"/>
    </row>
    <row r="176" spans="1:10" x14ac:dyDescent="0.25">
      <c r="A176" s="26">
        <v>0.5</v>
      </c>
      <c r="B176" s="26">
        <v>8</v>
      </c>
      <c r="C176" s="39">
        <v>0.4</v>
      </c>
      <c r="D176" s="26">
        <v>2</v>
      </c>
      <c r="E176" s="26">
        <v>185</v>
      </c>
      <c r="F176" s="66">
        <f t="shared" si="7"/>
        <v>1.0810810810810811E-2</v>
      </c>
      <c r="I176" s="30"/>
      <c r="J176" s="30"/>
    </row>
    <row r="177" spans="1:10" x14ac:dyDescent="0.25">
      <c r="A177" s="26">
        <v>0.5</v>
      </c>
      <c r="B177" s="26">
        <v>8</v>
      </c>
      <c r="C177" s="39">
        <v>0.4</v>
      </c>
      <c r="D177" s="26">
        <v>2.5</v>
      </c>
      <c r="E177" s="26">
        <v>231</v>
      </c>
      <c r="F177" s="66">
        <f t="shared" si="7"/>
        <v>1.0822510822510822E-2</v>
      </c>
      <c r="I177" s="30"/>
      <c r="J177" s="30"/>
    </row>
    <row r="178" spans="1:10" x14ac:dyDescent="0.25">
      <c r="A178" s="26">
        <v>0.5</v>
      </c>
      <c r="B178" s="26">
        <v>8</v>
      </c>
      <c r="C178" s="39">
        <v>0.4</v>
      </c>
      <c r="D178" s="26">
        <v>3</v>
      </c>
      <c r="E178" s="26">
        <v>277</v>
      </c>
      <c r="F178" s="66">
        <f t="shared" si="7"/>
        <v>1.0830324909747292E-2</v>
      </c>
      <c r="I178" s="30"/>
      <c r="J178" s="30"/>
    </row>
    <row r="179" spans="1:10" x14ac:dyDescent="0.25">
      <c r="A179" s="26">
        <v>0.5</v>
      </c>
      <c r="B179" s="26">
        <v>8</v>
      </c>
      <c r="C179" s="39">
        <v>0.6</v>
      </c>
      <c r="D179" s="26">
        <v>0.5</v>
      </c>
      <c r="E179" s="26">
        <v>48</v>
      </c>
      <c r="F179" s="66">
        <f t="shared" si="7"/>
        <v>1.0416666666666666E-2</v>
      </c>
      <c r="I179" s="30"/>
      <c r="J179" s="30"/>
    </row>
    <row r="180" spans="1:10" x14ac:dyDescent="0.25">
      <c r="A180" s="26">
        <v>0.5</v>
      </c>
      <c r="B180" s="26">
        <v>8</v>
      </c>
      <c r="C180" s="39">
        <v>0.6</v>
      </c>
      <c r="D180" s="26">
        <v>1</v>
      </c>
      <c r="E180" s="26">
        <v>95</v>
      </c>
      <c r="F180" s="66">
        <f t="shared" si="7"/>
        <v>1.0526315789473684E-2</v>
      </c>
      <c r="I180" s="30"/>
      <c r="J180" s="30"/>
    </row>
    <row r="181" spans="1:10" x14ac:dyDescent="0.25">
      <c r="A181" s="26">
        <v>0.5</v>
      </c>
      <c r="B181" s="26">
        <v>8</v>
      </c>
      <c r="C181" s="39">
        <v>0.6</v>
      </c>
      <c r="D181" s="26">
        <v>1.5</v>
      </c>
      <c r="E181" s="26">
        <v>143</v>
      </c>
      <c r="F181" s="66">
        <f t="shared" si="7"/>
        <v>1.048951048951049E-2</v>
      </c>
      <c r="I181" s="30"/>
      <c r="J181" s="30"/>
    </row>
    <row r="182" spans="1:10" x14ac:dyDescent="0.25">
      <c r="A182" s="26">
        <v>0.5</v>
      </c>
      <c r="B182" s="26">
        <v>8</v>
      </c>
      <c r="C182" s="39">
        <v>0.6</v>
      </c>
      <c r="D182" s="26">
        <v>2</v>
      </c>
      <c r="E182" s="26">
        <v>191</v>
      </c>
      <c r="F182" s="66">
        <f t="shared" si="7"/>
        <v>1.0471204188481676E-2</v>
      </c>
      <c r="I182" s="30"/>
      <c r="J182" s="30"/>
    </row>
    <row r="183" spans="1:10" x14ac:dyDescent="0.25">
      <c r="A183" s="26">
        <v>0.5</v>
      </c>
      <c r="B183" s="26">
        <v>8</v>
      </c>
      <c r="C183" s="39">
        <v>0.6</v>
      </c>
      <c r="D183" s="26">
        <v>2.5</v>
      </c>
      <c r="E183" s="26">
        <v>238</v>
      </c>
      <c r="F183" s="66">
        <f t="shared" si="7"/>
        <v>1.050420168067227E-2</v>
      </c>
      <c r="I183" s="30"/>
      <c r="J183" s="30"/>
    </row>
    <row r="184" spans="1:10" x14ac:dyDescent="0.25">
      <c r="A184" s="26">
        <v>0.5</v>
      </c>
      <c r="B184" s="26">
        <v>8</v>
      </c>
      <c r="C184" s="39">
        <v>0.6</v>
      </c>
      <c r="D184" s="26">
        <v>3</v>
      </c>
      <c r="E184" s="26">
        <v>286</v>
      </c>
      <c r="F184" s="66">
        <f t="shared" si="7"/>
        <v>1.048951048951049E-2</v>
      </c>
      <c r="I184" s="30"/>
      <c r="J184" s="30"/>
    </row>
    <row r="185" spans="1:10" x14ac:dyDescent="0.25">
      <c r="A185" s="26">
        <v>0.5</v>
      </c>
      <c r="B185" s="26">
        <v>8</v>
      </c>
      <c r="C185" s="26">
        <v>0.8</v>
      </c>
      <c r="D185" s="26">
        <v>0.5</v>
      </c>
      <c r="E185" s="26">
        <v>49</v>
      </c>
      <c r="F185" s="66">
        <f t="shared" si="7"/>
        <v>1.020408163265306E-2</v>
      </c>
      <c r="I185" s="30"/>
      <c r="J185" s="30"/>
    </row>
    <row r="186" spans="1:10" x14ac:dyDescent="0.25">
      <c r="A186" s="26">
        <v>0.5</v>
      </c>
      <c r="B186" s="26">
        <v>8</v>
      </c>
      <c r="C186" s="26">
        <v>0.8</v>
      </c>
      <c r="D186" s="26">
        <v>1</v>
      </c>
      <c r="E186" s="26">
        <v>98</v>
      </c>
      <c r="F186" s="66">
        <f t="shared" si="7"/>
        <v>1.020408163265306E-2</v>
      </c>
      <c r="I186" s="30"/>
      <c r="J186" s="30"/>
    </row>
    <row r="187" spans="1:10" x14ac:dyDescent="0.25">
      <c r="A187" s="26">
        <v>0.5</v>
      </c>
      <c r="B187" s="26">
        <v>8</v>
      </c>
      <c r="C187" s="26">
        <v>0.8</v>
      </c>
      <c r="D187" s="26">
        <v>1.5</v>
      </c>
      <c r="E187" s="26">
        <v>148</v>
      </c>
      <c r="F187" s="66">
        <f t="shared" si="7"/>
        <v>1.0135135135135136E-2</v>
      </c>
      <c r="H187" s="30"/>
      <c r="I187" s="30"/>
      <c r="J187" s="30"/>
    </row>
    <row r="188" spans="1:10" x14ac:dyDescent="0.25">
      <c r="A188" s="26">
        <v>0.5</v>
      </c>
      <c r="B188" s="26">
        <v>8</v>
      </c>
      <c r="C188" s="26">
        <v>0.8</v>
      </c>
      <c r="D188" s="26">
        <v>2</v>
      </c>
      <c r="E188" s="26">
        <v>197</v>
      </c>
      <c r="F188" s="66">
        <f t="shared" si="7"/>
        <v>1.015228426395939E-2</v>
      </c>
      <c r="H188" s="30"/>
      <c r="I188" s="30"/>
      <c r="J188" s="30"/>
    </row>
    <row r="189" spans="1:10" x14ac:dyDescent="0.25">
      <c r="A189" s="26">
        <v>0.5</v>
      </c>
      <c r="B189" s="26">
        <v>8</v>
      </c>
      <c r="C189" s="26">
        <v>0.8</v>
      </c>
      <c r="D189" s="26">
        <v>2.5</v>
      </c>
      <c r="E189" s="26">
        <v>246</v>
      </c>
      <c r="F189" s="66">
        <f t="shared" si="7"/>
        <v>1.016260162601626E-2</v>
      </c>
      <c r="H189" s="30"/>
      <c r="I189" s="30"/>
      <c r="J189" s="30"/>
    </row>
    <row r="190" spans="1:10" x14ac:dyDescent="0.25">
      <c r="A190" s="26">
        <v>0.5</v>
      </c>
      <c r="B190" s="26">
        <v>8</v>
      </c>
      <c r="C190" s="26">
        <v>0.8</v>
      </c>
      <c r="D190" s="26">
        <v>3</v>
      </c>
      <c r="E190" s="26">
        <v>295</v>
      </c>
      <c r="F190" s="66">
        <f t="shared" si="7"/>
        <v>1.0169491525423728E-2</v>
      </c>
      <c r="H190" s="30"/>
      <c r="I190" s="30"/>
      <c r="J190" s="30"/>
    </row>
    <row r="191" spans="1:10" x14ac:dyDescent="0.25">
      <c r="A191" s="26">
        <v>0.5</v>
      </c>
      <c r="B191" s="26">
        <v>8</v>
      </c>
      <c r="C191" s="26">
        <v>1</v>
      </c>
      <c r="D191" s="26">
        <v>0.5</v>
      </c>
      <c r="E191" s="26">
        <v>51</v>
      </c>
      <c r="F191" s="66">
        <f t="shared" si="7"/>
        <v>9.8039215686274508E-3</v>
      </c>
      <c r="H191" s="30"/>
      <c r="I191" s="30"/>
      <c r="J191" s="30"/>
    </row>
    <row r="192" spans="1:10" x14ac:dyDescent="0.25">
      <c r="A192" s="26">
        <v>0.5</v>
      </c>
      <c r="B192" s="26">
        <v>8</v>
      </c>
      <c r="C192" s="26">
        <v>1</v>
      </c>
      <c r="D192" s="26">
        <v>1</v>
      </c>
      <c r="E192" s="26">
        <v>101</v>
      </c>
      <c r="F192" s="66">
        <f t="shared" si="7"/>
        <v>9.9009900990099011E-3</v>
      </c>
      <c r="H192" s="30"/>
      <c r="I192" s="30"/>
      <c r="J192" s="30"/>
    </row>
    <row r="193" spans="1:10" x14ac:dyDescent="0.25">
      <c r="A193" s="26">
        <v>0.5</v>
      </c>
      <c r="B193" s="26">
        <v>8</v>
      </c>
      <c r="C193" s="26">
        <v>1</v>
      </c>
      <c r="D193" s="26">
        <v>1.5</v>
      </c>
      <c r="E193" s="26">
        <v>152</v>
      </c>
      <c r="F193" s="66">
        <f t="shared" si="7"/>
        <v>9.8684210526315784E-3</v>
      </c>
      <c r="H193" s="30"/>
      <c r="I193" s="30"/>
      <c r="J193" s="30"/>
    </row>
    <row r="194" spans="1:10" x14ac:dyDescent="0.25">
      <c r="A194" s="26">
        <v>0.5</v>
      </c>
      <c r="B194" s="26">
        <v>8</v>
      </c>
      <c r="C194" s="26">
        <v>1</v>
      </c>
      <c r="D194" s="26">
        <v>2</v>
      </c>
      <c r="E194" s="26">
        <v>203</v>
      </c>
      <c r="F194" s="66">
        <f t="shared" si="7"/>
        <v>9.852216748768473E-3</v>
      </c>
      <c r="H194" s="30"/>
      <c r="I194" s="30"/>
      <c r="J194" s="30"/>
    </row>
    <row r="195" spans="1:10" x14ac:dyDescent="0.25">
      <c r="A195" s="26">
        <v>0.5</v>
      </c>
      <c r="B195" s="26">
        <v>8</v>
      </c>
      <c r="C195" s="26">
        <v>1</v>
      </c>
      <c r="D195" s="26">
        <v>2.5</v>
      </c>
      <c r="E195" s="26">
        <v>253</v>
      </c>
      <c r="F195" s="66">
        <f t="shared" si="7"/>
        <v>9.881422924901186E-3</v>
      </c>
      <c r="H195" s="30"/>
      <c r="I195" s="30"/>
      <c r="J195" s="30"/>
    </row>
    <row r="196" spans="1:10" x14ac:dyDescent="0.25">
      <c r="A196" s="26">
        <v>0.5</v>
      </c>
      <c r="B196" s="26">
        <v>8</v>
      </c>
      <c r="C196" s="26">
        <v>1</v>
      </c>
      <c r="D196" s="26">
        <v>3</v>
      </c>
      <c r="E196" s="26">
        <v>304</v>
      </c>
      <c r="F196" s="66">
        <f t="shared" si="7"/>
        <v>9.8684210526315784E-3</v>
      </c>
      <c r="H196" s="30"/>
      <c r="I196" s="30"/>
      <c r="J196" s="30"/>
    </row>
    <row r="197" spans="1:10" x14ac:dyDescent="0.25">
      <c r="A197" s="26">
        <v>0.5</v>
      </c>
      <c r="B197" s="26">
        <v>8</v>
      </c>
      <c r="C197" s="26">
        <v>1.2</v>
      </c>
      <c r="D197" s="26">
        <v>0.5</v>
      </c>
      <c r="E197" s="26">
        <v>52</v>
      </c>
      <c r="F197" s="66">
        <f t="shared" ref="F197:F260" si="8">D197/E197</f>
        <v>9.6153846153846159E-3</v>
      </c>
      <c r="H197" s="30"/>
      <c r="I197" s="30"/>
      <c r="J197" s="30"/>
    </row>
    <row r="198" spans="1:10" x14ac:dyDescent="0.25">
      <c r="A198" s="26">
        <v>0.5</v>
      </c>
      <c r="B198" s="26">
        <v>8</v>
      </c>
      <c r="C198" s="26">
        <v>1.2</v>
      </c>
      <c r="D198" s="26">
        <v>1</v>
      </c>
      <c r="E198" s="26">
        <v>104</v>
      </c>
      <c r="F198" s="66">
        <f t="shared" si="8"/>
        <v>9.6153846153846159E-3</v>
      </c>
      <c r="H198" s="30"/>
      <c r="I198" s="30"/>
      <c r="J198" s="30"/>
    </row>
    <row r="199" spans="1:10" x14ac:dyDescent="0.25">
      <c r="A199" s="26">
        <v>0.5</v>
      </c>
      <c r="B199" s="26">
        <v>8</v>
      </c>
      <c r="C199" s="26">
        <v>1.2</v>
      </c>
      <c r="D199" s="26">
        <v>1.5</v>
      </c>
      <c r="E199" s="26">
        <v>157</v>
      </c>
      <c r="F199" s="66">
        <f t="shared" si="8"/>
        <v>9.5541401273885346E-3</v>
      </c>
      <c r="H199" s="30"/>
      <c r="I199" s="30"/>
      <c r="J199" s="30"/>
    </row>
    <row r="200" spans="1:10" x14ac:dyDescent="0.25">
      <c r="A200" s="26">
        <v>0.5</v>
      </c>
      <c r="B200" s="26">
        <v>8</v>
      </c>
      <c r="C200" s="26">
        <v>1.2</v>
      </c>
      <c r="D200" s="26">
        <v>2</v>
      </c>
      <c r="E200" s="26">
        <v>209</v>
      </c>
      <c r="F200" s="66">
        <f t="shared" si="8"/>
        <v>9.5693779904306216E-3</v>
      </c>
      <c r="H200" s="30"/>
      <c r="I200" s="30"/>
      <c r="J200" s="30"/>
    </row>
    <row r="201" spans="1:10" x14ac:dyDescent="0.25">
      <c r="A201" s="26">
        <v>0.5</v>
      </c>
      <c r="B201" s="26">
        <v>8</v>
      </c>
      <c r="C201" s="26">
        <v>1.2</v>
      </c>
      <c r="D201" s="26">
        <v>2.5</v>
      </c>
      <c r="E201" s="26">
        <v>261</v>
      </c>
      <c r="F201" s="66">
        <f t="shared" si="8"/>
        <v>9.5785440613026813E-3</v>
      </c>
      <c r="H201" s="30"/>
      <c r="I201" s="30"/>
      <c r="J201" s="30"/>
    </row>
    <row r="202" spans="1:10" x14ac:dyDescent="0.25">
      <c r="A202" s="26">
        <v>0.5</v>
      </c>
      <c r="B202" s="26">
        <v>8</v>
      </c>
      <c r="C202" s="26">
        <v>1.2</v>
      </c>
      <c r="D202" s="26">
        <v>3</v>
      </c>
      <c r="E202" s="26">
        <v>313</v>
      </c>
      <c r="F202" s="66">
        <f t="shared" si="8"/>
        <v>9.5846645367412137E-3</v>
      </c>
      <c r="H202" s="30"/>
      <c r="I202" s="30"/>
      <c r="J202" s="30"/>
    </row>
    <row r="203" spans="1:10" x14ac:dyDescent="0.25">
      <c r="A203" s="26">
        <v>0.5</v>
      </c>
      <c r="B203" s="26">
        <v>8</v>
      </c>
      <c r="C203" s="26">
        <v>1.4</v>
      </c>
      <c r="D203" s="26">
        <v>0.5</v>
      </c>
      <c r="E203" s="26">
        <v>54</v>
      </c>
      <c r="F203" s="66">
        <f t="shared" si="8"/>
        <v>9.2592592592592587E-3</v>
      </c>
      <c r="H203" s="30"/>
      <c r="I203" s="30"/>
      <c r="J203" s="30"/>
    </row>
    <row r="204" spans="1:10" x14ac:dyDescent="0.25">
      <c r="A204" s="26">
        <v>0.5</v>
      </c>
      <c r="B204" s="26">
        <v>8</v>
      </c>
      <c r="C204" s="26">
        <v>1.4</v>
      </c>
      <c r="D204" s="26">
        <v>1</v>
      </c>
      <c r="E204" s="26">
        <v>107</v>
      </c>
      <c r="F204" s="66">
        <f t="shared" si="8"/>
        <v>9.3457943925233638E-3</v>
      </c>
      <c r="H204" s="30"/>
      <c r="I204" s="30"/>
      <c r="J204" s="30"/>
    </row>
    <row r="205" spans="1:10" x14ac:dyDescent="0.25">
      <c r="A205" s="26">
        <v>0.5</v>
      </c>
      <c r="B205" s="26">
        <v>8</v>
      </c>
      <c r="C205" s="26">
        <v>1.4</v>
      </c>
      <c r="D205" s="26">
        <v>1.5</v>
      </c>
      <c r="E205" s="26">
        <v>161</v>
      </c>
      <c r="F205" s="66">
        <f t="shared" si="8"/>
        <v>9.316770186335404E-3</v>
      </c>
      <c r="H205" s="30"/>
      <c r="I205" s="30"/>
      <c r="J205" s="30"/>
    </row>
    <row r="206" spans="1:10" x14ac:dyDescent="0.25">
      <c r="A206" s="26">
        <v>0.5</v>
      </c>
      <c r="B206" s="26">
        <v>8</v>
      </c>
      <c r="C206" s="26">
        <v>1.4</v>
      </c>
      <c r="D206" s="26">
        <v>2</v>
      </c>
      <c r="E206" s="26">
        <v>214</v>
      </c>
      <c r="F206" s="66">
        <f t="shared" si="8"/>
        <v>9.3457943925233638E-3</v>
      </c>
      <c r="H206" s="30"/>
      <c r="I206" s="30"/>
      <c r="J206" s="30"/>
    </row>
    <row r="207" spans="1:10" x14ac:dyDescent="0.25">
      <c r="A207" s="26">
        <v>0.5</v>
      </c>
      <c r="B207" s="26">
        <v>8</v>
      </c>
      <c r="C207" s="26">
        <v>1.4</v>
      </c>
      <c r="D207" s="26">
        <v>2.5</v>
      </c>
      <c r="E207" s="26">
        <v>268</v>
      </c>
      <c r="F207" s="66">
        <f t="shared" si="8"/>
        <v>9.3283582089552231E-3</v>
      </c>
      <c r="H207" s="30"/>
      <c r="I207" s="30"/>
      <c r="J207" s="30"/>
    </row>
    <row r="208" spans="1:10" x14ac:dyDescent="0.25">
      <c r="A208" s="26">
        <v>0.5</v>
      </c>
      <c r="B208" s="26">
        <v>8</v>
      </c>
      <c r="C208" s="26">
        <v>1.4</v>
      </c>
      <c r="D208" s="26">
        <v>3</v>
      </c>
      <c r="E208" s="26">
        <v>321</v>
      </c>
      <c r="F208" s="66">
        <f t="shared" si="8"/>
        <v>9.3457943925233638E-3</v>
      </c>
      <c r="H208" s="30"/>
      <c r="I208" s="30"/>
      <c r="J208" s="30"/>
    </row>
    <row r="209" spans="1:10" x14ac:dyDescent="0.25">
      <c r="A209" s="26">
        <v>0.5</v>
      </c>
      <c r="B209" s="26">
        <v>8</v>
      </c>
      <c r="C209" s="26">
        <v>1.6</v>
      </c>
      <c r="D209" s="26">
        <v>0.5</v>
      </c>
      <c r="E209" s="26">
        <v>55</v>
      </c>
      <c r="F209" s="66">
        <f t="shared" si="8"/>
        <v>9.0909090909090905E-3</v>
      </c>
      <c r="H209" s="30"/>
      <c r="I209" s="30"/>
      <c r="J209" s="30"/>
    </row>
    <row r="210" spans="1:10" x14ac:dyDescent="0.25">
      <c r="A210" s="26">
        <v>0.5</v>
      </c>
      <c r="B210" s="26">
        <v>8</v>
      </c>
      <c r="C210" s="26">
        <v>1.6</v>
      </c>
      <c r="D210" s="26">
        <v>1</v>
      </c>
      <c r="E210" s="26">
        <v>110</v>
      </c>
      <c r="F210" s="66">
        <f t="shared" si="8"/>
        <v>9.0909090909090905E-3</v>
      </c>
      <c r="H210" s="30"/>
      <c r="I210" s="30"/>
      <c r="J210" s="30"/>
    </row>
    <row r="211" spans="1:10" x14ac:dyDescent="0.25">
      <c r="A211" s="26">
        <v>0.5</v>
      </c>
      <c r="B211" s="26">
        <v>8</v>
      </c>
      <c r="C211" s="26">
        <v>1.6</v>
      </c>
      <c r="D211" s="26">
        <v>1.5</v>
      </c>
      <c r="E211" s="26">
        <v>165</v>
      </c>
      <c r="F211" s="66">
        <f t="shared" si="8"/>
        <v>9.0909090909090905E-3</v>
      </c>
      <c r="H211" s="30"/>
      <c r="I211" s="30"/>
      <c r="J211" s="30"/>
    </row>
    <row r="212" spans="1:10" x14ac:dyDescent="0.25">
      <c r="A212" s="26">
        <v>0.5</v>
      </c>
      <c r="B212" s="26">
        <v>8</v>
      </c>
      <c r="C212" s="26">
        <v>1.6</v>
      </c>
      <c r="D212" s="26">
        <v>2</v>
      </c>
      <c r="E212" s="26">
        <v>219</v>
      </c>
      <c r="F212" s="66">
        <f t="shared" si="8"/>
        <v>9.1324200913242004E-3</v>
      </c>
      <c r="H212" s="30"/>
      <c r="I212" s="30"/>
      <c r="J212" s="30"/>
    </row>
    <row r="213" spans="1:10" x14ac:dyDescent="0.25">
      <c r="A213" s="26">
        <v>0.5</v>
      </c>
      <c r="B213" s="26">
        <v>8</v>
      </c>
      <c r="C213" s="26">
        <v>1.6</v>
      </c>
      <c r="D213" s="26">
        <v>2.5</v>
      </c>
      <c r="E213" s="26">
        <v>274</v>
      </c>
      <c r="F213" s="66">
        <f t="shared" si="8"/>
        <v>9.1240875912408752E-3</v>
      </c>
      <c r="H213" s="30"/>
      <c r="I213" s="30"/>
      <c r="J213" s="30"/>
    </row>
    <row r="214" spans="1:10" x14ac:dyDescent="0.25">
      <c r="A214" s="26">
        <v>0.5</v>
      </c>
      <c r="B214" s="26">
        <v>8</v>
      </c>
      <c r="C214" s="26">
        <v>1.6</v>
      </c>
      <c r="D214" s="26">
        <v>3</v>
      </c>
      <c r="E214" s="26">
        <v>329</v>
      </c>
      <c r="F214" s="66">
        <f t="shared" si="8"/>
        <v>9.11854103343465E-3</v>
      </c>
      <c r="H214" s="30"/>
      <c r="I214" s="30"/>
      <c r="J214" s="30"/>
    </row>
    <row r="215" spans="1:10" x14ac:dyDescent="0.25">
      <c r="A215" s="26">
        <v>0.5</v>
      </c>
      <c r="B215" s="26">
        <v>8</v>
      </c>
      <c r="C215" s="26">
        <v>1.8</v>
      </c>
      <c r="D215" s="26">
        <v>0.5</v>
      </c>
      <c r="E215" s="26">
        <v>56</v>
      </c>
      <c r="F215" s="66">
        <f t="shared" si="8"/>
        <v>8.9285714285714281E-3</v>
      </c>
      <c r="H215" s="30"/>
      <c r="I215" s="30"/>
      <c r="J215" s="30"/>
    </row>
    <row r="216" spans="1:10" x14ac:dyDescent="0.25">
      <c r="A216" s="26">
        <v>0.5</v>
      </c>
      <c r="B216" s="26">
        <v>8</v>
      </c>
      <c r="C216" s="26">
        <v>1.8</v>
      </c>
      <c r="D216" s="26">
        <v>1</v>
      </c>
      <c r="E216" s="26">
        <v>113</v>
      </c>
      <c r="F216" s="66">
        <f t="shared" si="8"/>
        <v>8.8495575221238937E-3</v>
      </c>
      <c r="H216" s="30"/>
      <c r="I216" s="30"/>
      <c r="J216" s="30"/>
    </row>
    <row r="217" spans="1:10" x14ac:dyDescent="0.25">
      <c r="A217" s="26">
        <v>0.5</v>
      </c>
      <c r="B217" s="26">
        <v>8</v>
      </c>
      <c r="C217" s="26">
        <v>1.8</v>
      </c>
      <c r="D217" s="26">
        <v>1.5</v>
      </c>
      <c r="E217" s="26">
        <v>169</v>
      </c>
      <c r="F217" s="66">
        <f t="shared" si="8"/>
        <v>8.8757396449704144E-3</v>
      </c>
      <c r="H217" s="30"/>
      <c r="I217" s="30"/>
      <c r="J217" s="30"/>
    </row>
    <row r="218" spans="1:10" x14ac:dyDescent="0.25">
      <c r="A218" s="26">
        <v>0.5</v>
      </c>
      <c r="B218" s="26">
        <v>8</v>
      </c>
      <c r="C218" s="26">
        <v>1.8</v>
      </c>
      <c r="D218" s="26">
        <v>2</v>
      </c>
      <c r="E218" s="26">
        <v>225</v>
      </c>
      <c r="F218" s="66">
        <f t="shared" si="8"/>
        <v>8.8888888888888889E-3</v>
      </c>
      <c r="H218" s="30"/>
      <c r="I218" s="30"/>
      <c r="J218" s="30"/>
    </row>
    <row r="219" spans="1:10" x14ac:dyDescent="0.25">
      <c r="A219" s="26">
        <v>0.5</v>
      </c>
      <c r="B219" s="26">
        <v>8</v>
      </c>
      <c r="C219" s="26">
        <v>1.8</v>
      </c>
      <c r="D219" s="26">
        <v>2.5</v>
      </c>
      <c r="E219" s="26">
        <v>282</v>
      </c>
      <c r="F219" s="66">
        <f t="shared" si="8"/>
        <v>8.8652482269503553E-3</v>
      </c>
      <c r="H219" s="30"/>
      <c r="I219" s="30"/>
      <c r="J219" s="30"/>
    </row>
    <row r="220" spans="1:10" x14ac:dyDescent="0.25">
      <c r="A220" s="26">
        <v>0.5</v>
      </c>
      <c r="B220" s="26">
        <v>8</v>
      </c>
      <c r="C220" s="26">
        <v>1.8</v>
      </c>
      <c r="D220" s="26">
        <v>3</v>
      </c>
      <c r="E220" s="26">
        <v>338</v>
      </c>
      <c r="F220" s="66">
        <f t="shared" si="8"/>
        <v>8.8757396449704144E-3</v>
      </c>
      <c r="H220" s="30"/>
      <c r="I220" s="30"/>
      <c r="J220" s="30"/>
    </row>
    <row r="221" spans="1:10" x14ac:dyDescent="0.25">
      <c r="A221" s="26">
        <v>0.5</v>
      </c>
      <c r="B221" s="26">
        <v>8</v>
      </c>
      <c r="C221" s="26">
        <v>2</v>
      </c>
      <c r="D221" s="26">
        <v>0.5</v>
      </c>
      <c r="E221" s="26">
        <v>58</v>
      </c>
      <c r="F221" s="66">
        <f t="shared" si="8"/>
        <v>8.6206896551724137E-3</v>
      </c>
      <c r="H221" s="30"/>
      <c r="I221" s="30"/>
      <c r="J221" s="30"/>
    </row>
    <row r="222" spans="1:10" x14ac:dyDescent="0.25">
      <c r="A222" s="26">
        <v>0.5</v>
      </c>
      <c r="B222" s="26">
        <v>8</v>
      </c>
      <c r="C222" s="26">
        <v>2</v>
      </c>
      <c r="D222" s="26">
        <v>1</v>
      </c>
      <c r="E222" s="26">
        <v>115</v>
      </c>
      <c r="F222" s="66">
        <f t="shared" si="8"/>
        <v>8.6956521739130436E-3</v>
      </c>
      <c r="H222" s="30"/>
      <c r="I222" s="30"/>
      <c r="J222" s="30"/>
    </row>
    <row r="223" spans="1:10" x14ac:dyDescent="0.25">
      <c r="A223" s="26">
        <v>0.5</v>
      </c>
      <c r="B223" s="26">
        <v>8</v>
      </c>
      <c r="C223" s="26">
        <v>2</v>
      </c>
      <c r="D223" s="26">
        <v>1.5</v>
      </c>
      <c r="E223" s="26">
        <v>173</v>
      </c>
      <c r="F223" s="66">
        <f t="shared" si="8"/>
        <v>8.670520231213872E-3</v>
      </c>
      <c r="H223" s="30"/>
      <c r="I223" s="30"/>
      <c r="J223" s="30"/>
    </row>
    <row r="224" spans="1:10" x14ac:dyDescent="0.25">
      <c r="A224" s="26">
        <v>0.5</v>
      </c>
      <c r="B224" s="26">
        <v>8</v>
      </c>
      <c r="C224" s="26">
        <v>2</v>
      </c>
      <c r="D224" s="26">
        <v>2</v>
      </c>
      <c r="E224" s="26">
        <v>231</v>
      </c>
      <c r="F224" s="66">
        <f t="shared" si="8"/>
        <v>8.658008658008658E-3</v>
      </c>
      <c r="H224" s="30"/>
      <c r="I224" s="30"/>
      <c r="J224" s="30"/>
    </row>
    <row r="225" spans="1:10" x14ac:dyDescent="0.25">
      <c r="A225" s="26">
        <v>0.5</v>
      </c>
      <c r="B225" s="26">
        <v>8</v>
      </c>
      <c r="C225" s="26">
        <v>2</v>
      </c>
      <c r="D225" s="26">
        <v>2.5</v>
      </c>
      <c r="E225" s="26">
        <v>288</v>
      </c>
      <c r="F225" s="66">
        <f t="shared" si="8"/>
        <v>8.6805555555555559E-3</v>
      </c>
      <c r="H225" s="30"/>
      <c r="I225" s="30"/>
      <c r="J225" s="30"/>
    </row>
    <row r="226" spans="1:10" x14ac:dyDescent="0.25">
      <c r="A226" s="26">
        <v>0.5</v>
      </c>
      <c r="B226" s="26">
        <v>8</v>
      </c>
      <c r="C226" s="26">
        <v>2</v>
      </c>
      <c r="D226" s="26">
        <v>3</v>
      </c>
      <c r="E226" s="26">
        <v>346</v>
      </c>
      <c r="F226" s="66">
        <f t="shared" si="8"/>
        <v>8.670520231213872E-3</v>
      </c>
      <c r="H226" s="30"/>
      <c r="I226" s="30"/>
      <c r="J226" s="30"/>
    </row>
    <row r="227" spans="1:10" x14ac:dyDescent="0.25">
      <c r="A227" s="26">
        <v>0.5</v>
      </c>
      <c r="B227" s="26">
        <v>8</v>
      </c>
      <c r="C227" s="26">
        <v>2.2000000000000002</v>
      </c>
      <c r="D227" s="26">
        <v>0.5</v>
      </c>
      <c r="E227" s="26">
        <v>59</v>
      </c>
      <c r="F227" s="66">
        <f t="shared" si="8"/>
        <v>8.4745762711864406E-3</v>
      </c>
      <c r="H227" s="30"/>
      <c r="I227" s="30"/>
      <c r="J227" s="30"/>
    </row>
    <row r="228" spans="1:10" x14ac:dyDescent="0.25">
      <c r="A228" s="26">
        <v>0.5</v>
      </c>
      <c r="B228" s="26">
        <v>8</v>
      </c>
      <c r="C228" s="26">
        <v>2.2000000000000002</v>
      </c>
      <c r="D228" s="26">
        <v>1</v>
      </c>
      <c r="E228" s="26">
        <v>118</v>
      </c>
      <c r="F228" s="66">
        <f t="shared" si="8"/>
        <v>8.4745762711864406E-3</v>
      </c>
      <c r="H228" s="30"/>
      <c r="I228" s="30"/>
      <c r="J228" s="30"/>
    </row>
    <row r="229" spans="1:10" x14ac:dyDescent="0.25">
      <c r="A229" s="26">
        <v>0.5</v>
      </c>
      <c r="B229" s="26">
        <v>8</v>
      </c>
      <c r="C229" s="26">
        <v>2.2000000000000002</v>
      </c>
      <c r="D229" s="26">
        <v>1.5</v>
      </c>
      <c r="E229" s="26">
        <v>177</v>
      </c>
      <c r="F229" s="66">
        <f t="shared" si="8"/>
        <v>8.4745762711864406E-3</v>
      </c>
      <c r="H229" s="30"/>
      <c r="I229" s="30"/>
      <c r="J229" s="30"/>
    </row>
    <row r="230" spans="1:10" x14ac:dyDescent="0.25">
      <c r="A230" s="26">
        <v>0.5</v>
      </c>
      <c r="B230" s="26">
        <v>8</v>
      </c>
      <c r="C230" s="26">
        <v>2.2000000000000002</v>
      </c>
      <c r="D230" s="26">
        <v>2</v>
      </c>
      <c r="E230" s="26">
        <v>235</v>
      </c>
      <c r="F230" s="66">
        <f t="shared" si="8"/>
        <v>8.5106382978723406E-3</v>
      </c>
      <c r="H230" s="30"/>
      <c r="I230" s="30"/>
      <c r="J230" s="30"/>
    </row>
    <row r="231" spans="1:10" x14ac:dyDescent="0.25">
      <c r="A231" s="26">
        <v>0.5</v>
      </c>
      <c r="B231" s="26">
        <v>8</v>
      </c>
      <c r="C231" s="26">
        <v>2.2000000000000002</v>
      </c>
      <c r="D231" s="26">
        <v>2.5</v>
      </c>
      <c r="E231" s="26">
        <v>294</v>
      </c>
      <c r="F231" s="66">
        <f t="shared" si="8"/>
        <v>8.5034013605442185E-3</v>
      </c>
      <c r="H231" s="30"/>
      <c r="I231" s="30"/>
      <c r="J231" s="30"/>
    </row>
    <row r="232" spans="1:10" x14ac:dyDescent="0.25">
      <c r="A232" s="26">
        <v>0.5</v>
      </c>
      <c r="B232" s="26">
        <v>8</v>
      </c>
      <c r="C232" s="26">
        <v>2.2000000000000002</v>
      </c>
      <c r="D232" s="26">
        <v>3</v>
      </c>
      <c r="E232" s="26">
        <v>353</v>
      </c>
      <c r="F232" s="66">
        <f t="shared" si="8"/>
        <v>8.4985835694051E-3</v>
      </c>
      <c r="H232" s="30"/>
      <c r="I232" s="30"/>
      <c r="J232" s="30"/>
    </row>
    <row r="233" spans="1:10" x14ac:dyDescent="0.25">
      <c r="A233" s="26">
        <v>0.5</v>
      </c>
      <c r="B233" s="26">
        <v>8</v>
      </c>
      <c r="C233" s="26">
        <v>2.4</v>
      </c>
      <c r="D233" s="26">
        <v>0.5</v>
      </c>
      <c r="E233" s="26">
        <v>60</v>
      </c>
      <c r="F233" s="66">
        <f t="shared" si="8"/>
        <v>8.3333333333333332E-3</v>
      </c>
      <c r="H233" s="30"/>
      <c r="I233" s="30"/>
      <c r="J233" s="30"/>
    </row>
    <row r="234" spans="1:10" x14ac:dyDescent="0.25">
      <c r="A234" s="26">
        <v>0.5</v>
      </c>
      <c r="B234" s="26">
        <v>8</v>
      </c>
      <c r="C234" s="26">
        <v>2.4</v>
      </c>
      <c r="D234" s="26">
        <v>1</v>
      </c>
      <c r="E234" s="26">
        <v>120</v>
      </c>
      <c r="F234" s="66">
        <f t="shared" si="8"/>
        <v>8.3333333333333332E-3</v>
      </c>
      <c r="H234" s="30"/>
      <c r="I234" s="30"/>
      <c r="J234" s="30"/>
    </row>
    <row r="235" spans="1:10" x14ac:dyDescent="0.25">
      <c r="A235" s="26">
        <v>0.5</v>
      </c>
      <c r="B235" s="26">
        <v>8</v>
      </c>
      <c r="C235" s="26">
        <v>2.4</v>
      </c>
      <c r="D235" s="26">
        <v>1.5</v>
      </c>
      <c r="E235" s="26">
        <v>181</v>
      </c>
      <c r="F235" s="66">
        <f t="shared" si="8"/>
        <v>8.2872928176795577E-3</v>
      </c>
      <c r="H235" s="30"/>
      <c r="I235" s="30"/>
      <c r="J235" s="30"/>
    </row>
    <row r="236" spans="1:10" x14ac:dyDescent="0.25">
      <c r="A236" s="26">
        <v>0.5</v>
      </c>
      <c r="B236" s="26">
        <v>8</v>
      </c>
      <c r="C236" s="26">
        <v>2.4</v>
      </c>
      <c r="D236" s="26">
        <v>2</v>
      </c>
      <c r="E236" s="26">
        <v>241</v>
      </c>
      <c r="F236" s="66">
        <f t="shared" si="8"/>
        <v>8.2987551867219917E-3</v>
      </c>
      <c r="H236" s="30"/>
      <c r="I236" s="30"/>
      <c r="J236" s="30"/>
    </row>
    <row r="237" spans="1:10" x14ac:dyDescent="0.25">
      <c r="A237" s="26">
        <v>0.5</v>
      </c>
      <c r="B237" s="26">
        <v>8</v>
      </c>
      <c r="C237" s="26">
        <v>2.4</v>
      </c>
      <c r="D237" s="26">
        <v>2.5</v>
      </c>
      <c r="E237" s="26">
        <v>301</v>
      </c>
      <c r="F237" s="66">
        <f t="shared" si="8"/>
        <v>8.3056478405315621E-3</v>
      </c>
      <c r="H237" s="30"/>
      <c r="I237" s="30"/>
      <c r="J237" s="30"/>
    </row>
    <row r="238" spans="1:10" x14ac:dyDescent="0.25">
      <c r="A238" s="26">
        <v>0.5</v>
      </c>
      <c r="B238" s="26">
        <v>8</v>
      </c>
      <c r="C238" s="26">
        <v>2.4</v>
      </c>
      <c r="D238" s="26">
        <v>3</v>
      </c>
      <c r="E238" s="26">
        <v>361</v>
      </c>
      <c r="F238" s="66">
        <f t="shared" si="8"/>
        <v>8.3102493074792248E-3</v>
      </c>
      <c r="H238" s="30"/>
      <c r="I238" s="30"/>
      <c r="J238" s="30"/>
    </row>
    <row r="239" spans="1:10" x14ac:dyDescent="0.25">
      <c r="A239" s="26">
        <v>0.5</v>
      </c>
      <c r="B239" s="26">
        <v>8</v>
      </c>
      <c r="C239" s="26">
        <v>2.6</v>
      </c>
      <c r="D239" s="26">
        <v>0.5</v>
      </c>
      <c r="E239" s="26">
        <v>61</v>
      </c>
      <c r="F239" s="66">
        <f t="shared" si="8"/>
        <v>8.1967213114754103E-3</v>
      </c>
      <c r="H239" s="30"/>
      <c r="I239" s="30"/>
      <c r="J239" s="30"/>
    </row>
    <row r="240" spans="1:10" x14ac:dyDescent="0.25">
      <c r="A240" s="26">
        <v>0.5</v>
      </c>
      <c r="B240" s="26">
        <v>8</v>
      </c>
      <c r="C240" s="26">
        <v>2.6</v>
      </c>
      <c r="D240" s="26">
        <v>1</v>
      </c>
      <c r="E240" s="26">
        <v>123</v>
      </c>
      <c r="F240" s="66">
        <f t="shared" si="8"/>
        <v>8.130081300813009E-3</v>
      </c>
      <c r="H240" s="30"/>
      <c r="I240" s="30"/>
      <c r="J240" s="30"/>
    </row>
    <row r="241" spans="1:10" x14ac:dyDescent="0.25">
      <c r="A241" s="26">
        <v>0.5</v>
      </c>
      <c r="B241" s="26">
        <v>8</v>
      </c>
      <c r="C241" s="26">
        <v>2.6</v>
      </c>
      <c r="D241" s="26">
        <v>1.5</v>
      </c>
      <c r="E241" s="26">
        <v>184</v>
      </c>
      <c r="F241" s="66">
        <f t="shared" si="8"/>
        <v>8.152173913043478E-3</v>
      </c>
      <c r="H241" s="30"/>
      <c r="I241" s="30"/>
      <c r="J241" s="30"/>
    </row>
    <row r="242" spans="1:10" x14ac:dyDescent="0.25">
      <c r="A242" s="26">
        <v>0.5</v>
      </c>
      <c r="B242" s="26">
        <v>8</v>
      </c>
      <c r="C242" s="26">
        <v>2.6</v>
      </c>
      <c r="D242" s="26">
        <v>2</v>
      </c>
      <c r="E242" s="26">
        <v>245</v>
      </c>
      <c r="F242" s="66">
        <f t="shared" si="8"/>
        <v>8.1632653061224497E-3</v>
      </c>
      <c r="H242" s="30"/>
      <c r="I242" s="30"/>
      <c r="J242" s="30"/>
    </row>
    <row r="243" spans="1:10" x14ac:dyDescent="0.25">
      <c r="A243" s="26">
        <v>0.5</v>
      </c>
      <c r="B243" s="26">
        <v>8</v>
      </c>
      <c r="C243" s="26">
        <v>2.6</v>
      </c>
      <c r="D243" s="26">
        <v>2.5</v>
      </c>
      <c r="E243" s="26">
        <v>307</v>
      </c>
      <c r="F243" s="66">
        <f t="shared" si="8"/>
        <v>8.1433224755700327E-3</v>
      </c>
      <c r="H243" s="30"/>
      <c r="I243" s="30"/>
      <c r="J243" s="30"/>
    </row>
    <row r="244" spans="1:10" x14ac:dyDescent="0.25">
      <c r="A244" s="26">
        <v>0.5</v>
      </c>
      <c r="B244" s="26">
        <v>8</v>
      </c>
      <c r="C244" s="26">
        <v>2.6</v>
      </c>
      <c r="D244" s="26">
        <v>3</v>
      </c>
      <c r="E244" s="26">
        <v>368</v>
      </c>
      <c r="F244" s="66">
        <f t="shared" si="8"/>
        <v>8.152173913043478E-3</v>
      </c>
      <c r="H244" s="30"/>
      <c r="I244" s="30"/>
      <c r="J244" s="30"/>
    </row>
    <row r="245" spans="1:10" x14ac:dyDescent="0.25">
      <c r="A245" s="26">
        <v>0.5</v>
      </c>
      <c r="B245" s="26">
        <v>8</v>
      </c>
      <c r="C245" s="26">
        <v>2.8</v>
      </c>
      <c r="D245" s="26">
        <v>0.5</v>
      </c>
      <c r="E245" s="26">
        <v>63</v>
      </c>
      <c r="F245" s="66">
        <f t="shared" si="8"/>
        <v>7.9365079365079361E-3</v>
      </c>
      <c r="H245" s="30"/>
      <c r="I245" s="30"/>
      <c r="J245" s="30"/>
    </row>
    <row r="246" spans="1:10" x14ac:dyDescent="0.25">
      <c r="A246" s="26">
        <v>0.5</v>
      </c>
      <c r="B246" s="26">
        <v>8</v>
      </c>
      <c r="C246" s="26">
        <v>2.8</v>
      </c>
      <c r="D246" s="26">
        <v>1</v>
      </c>
      <c r="E246" s="26">
        <v>125</v>
      </c>
      <c r="F246" s="66">
        <f t="shared" si="8"/>
        <v>8.0000000000000002E-3</v>
      </c>
      <c r="H246" s="30"/>
      <c r="I246" s="30"/>
      <c r="J246" s="30"/>
    </row>
    <row r="247" spans="1:10" x14ac:dyDescent="0.25">
      <c r="A247" s="26">
        <v>0.5</v>
      </c>
      <c r="B247" s="26">
        <v>8</v>
      </c>
      <c r="C247" s="26">
        <v>2.8</v>
      </c>
      <c r="D247" s="26">
        <v>1.5</v>
      </c>
      <c r="E247" s="26">
        <v>188</v>
      </c>
      <c r="F247" s="66">
        <f t="shared" si="8"/>
        <v>7.9787234042553185E-3</v>
      </c>
      <c r="H247" s="30"/>
      <c r="I247" s="30"/>
      <c r="J247" s="30"/>
    </row>
    <row r="248" spans="1:10" x14ac:dyDescent="0.25">
      <c r="A248" s="26">
        <v>0.5</v>
      </c>
      <c r="B248" s="26">
        <v>8</v>
      </c>
      <c r="C248" s="26">
        <v>2.8</v>
      </c>
      <c r="D248" s="26">
        <v>2</v>
      </c>
      <c r="E248" s="26">
        <v>250</v>
      </c>
      <c r="F248" s="66">
        <f t="shared" si="8"/>
        <v>8.0000000000000002E-3</v>
      </c>
      <c r="H248" s="30"/>
      <c r="I248" s="30"/>
      <c r="J248" s="30"/>
    </row>
    <row r="249" spans="1:10" x14ac:dyDescent="0.25">
      <c r="A249" s="26">
        <v>0.5</v>
      </c>
      <c r="B249" s="26">
        <v>8</v>
      </c>
      <c r="C249" s="26">
        <v>2.8</v>
      </c>
      <c r="D249" s="26">
        <v>2.5</v>
      </c>
      <c r="E249" s="26">
        <v>313</v>
      </c>
      <c r="F249" s="66">
        <f t="shared" si="8"/>
        <v>7.9872204472843447E-3</v>
      </c>
      <c r="H249" s="30"/>
      <c r="I249" s="30"/>
      <c r="J249" s="30"/>
    </row>
    <row r="250" spans="1:10" x14ac:dyDescent="0.25">
      <c r="A250" s="26">
        <v>0.5</v>
      </c>
      <c r="B250" s="26">
        <v>8</v>
      </c>
      <c r="C250" s="26">
        <v>2.8</v>
      </c>
      <c r="D250" s="26">
        <v>3</v>
      </c>
      <c r="E250" s="26">
        <v>375</v>
      </c>
      <c r="F250" s="66">
        <f t="shared" si="8"/>
        <v>8.0000000000000002E-3</v>
      </c>
      <c r="H250" s="30"/>
      <c r="I250" s="30"/>
      <c r="J250" s="30"/>
    </row>
    <row r="251" spans="1:10" x14ac:dyDescent="0.25">
      <c r="A251" s="26">
        <v>0.5</v>
      </c>
      <c r="B251" s="26">
        <v>8</v>
      </c>
      <c r="C251" s="26">
        <v>3</v>
      </c>
      <c r="D251" s="26">
        <v>0.5</v>
      </c>
      <c r="E251" s="26">
        <v>64</v>
      </c>
      <c r="F251" s="66">
        <f t="shared" si="8"/>
        <v>7.8125E-3</v>
      </c>
      <c r="H251" s="30"/>
      <c r="I251" s="30"/>
      <c r="J251" s="30"/>
    </row>
    <row r="252" spans="1:10" x14ac:dyDescent="0.25">
      <c r="A252" s="26">
        <v>0.5</v>
      </c>
      <c r="B252" s="26">
        <v>8</v>
      </c>
      <c r="C252" s="26">
        <v>3</v>
      </c>
      <c r="D252" s="26">
        <v>1</v>
      </c>
      <c r="E252" s="26">
        <v>127</v>
      </c>
      <c r="F252" s="66">
        <f t="shared" si="8"/>
        <v>7.874015748031496E-3</v>
      </c>
      <c r="G252" s="30"/>
      <c r="H252" s="30"/>
      <c r="I252" s="30"/>
      <c r="J252" s="30"/>
    </row>
    <row r="253" spans="1:10" x14ac:dyDescent="0.25">
      <c r="A253" s="26">
        <v>0.5</v>
      </c>
      <c r="B253" s="26">
        <v>8</v>
      </c>
      <c r="C253" s="26">
        <v>3</v>
      </c>
      <c r="D253" s="26">
        <v>1.5</v>
      </c>
      <c r="E253" s="26">
        <v>191</v>
      </c>
      <c r="F253" s="66">
        <f t="shared" si="8"/>
        <v>7.8534031413612562E-3</v>
      </c>
      <c r="G253" s="30"/>
      <c r="H253" s="30"/>
      <c r="I253" s="30"/>
      <c r="J253" s="30"/>
    </row>
    <row r="254" spans="1:10" x14ac:dyDescent="0.25">
      <c r="A254" s="26">
        <v>0.5</v>
      </c>
      <c r="B254" s="26">
        <v>8</v>
      </c>
      <c r="C254" s="26">
        <v>3</v>
      </c>
      <c r="D254" s="26">
        <v>2</v>
      </c>
      <c r="E254" s="26">
        <v>255</v>
      </c>
      <c r="F254" s="66">
        <f t="shared" si="8"/>
        <v>7.8431372549019607E-3</v>
      </c>
      <c r="G254" s="30"/>
      <c r="H254" s="30"/>
      <c r="I254" s="30"/>
      <c r="J254" s="30"/>
    </row>
    <row r="255" spans="1:10" x14ac:dyDescent="0.25">
      <c r="A255" s="26">
        <v>0.5</v>
      </c>
      <c r="B255" s="26">
        <v>8</v>
      </c>
      <c r="C255" s="26">
        <v>3</v>
      </c>
      <c r="D255" s="26">
        <v>2.5</v>
      </c>
      <c r="E255" s="26">
        <v>318</v>
      </c>
      <c r="F255" s="66">
        <f t="shared" si="8"/>
        <v>7.8616352201257862E-3</v>
      </c>
      <c r="G255" s="30"/>
      <c r="H255" s="30"/>
      <c r="I255" s="30"/>
      <c r="J255" s="30"/>
    </row>
    <row r="256" spans="1:10" x14ac:dyDescent="0.25">
      <c r="A256" s="26">
        <v>0.5</v>
      </c>
      <c r="B256" s="26">
        <v>8</v>
      </c>
      <c r="C256" s="73">
        <v>3</v>
      </c>
      <c r="D256" s="73">
        <v>3</v>
      </c>
      <c r="E256" s="26">
        <v>382</v>
      </c>
      <c r="F256" s="66">
        <f t="shared" si="8"/>
        <v>7.8534031413612562E-3</v>
      </c>
      <c r="G256" s="30"/>
      <c r="H256" s="30"/>
      <c r="I256" s="30"/>
      <c r="J256" s="30"/>
    </row>
    <row r="257" spans="1:10" x14ac:dyDescent="0.25">
      <c r="A257" s="26">
        <v>0.5</v>
      </c>
      <c r="B257" s="26">
        <v>8.5</v>
      </c>
      <c r="C257" s="39">
        <v>0.4</v>
      </c>
      <c r="D257" s="26">
        <v>0.5</v>
      </c>
      <c r="E257" s="26">
        <v>55</v>
      </c>
      <c r="F257" s="66">
        <f t="shared" si="8"/>
        <v>9.0909090909090905E-3</v>
      </c>
      <c r="I257" s="30"/>
      <c r="J257" s="30"/>
    </row>
    <row r="258" spans="1:10" x14ac:dyDescent="0.25">
      <c r="A258" s="26">
        <v>0.5</v>
      </c>
      <c r="B258" s="26">
        <v>8.5</v>
      </c>
      <c r="C258" s="39">
        <v>0.4</v>
      </c>
      <c r="D258" s="26">
        <v>1</v>
      </c>
      <c r="E258" s="26">
        <v>110</v>
      </c>
      <c r="F258" s="66">
        <f t="shared" si="8"/>
        <v>9.0909090909090905E-3</v>
      </c>
      <c r="I258" s="30"/>
      <c r="J258" s="30"/>
    </row>
    <row r="259" spans="1:10" x14ac:dyDescent="0.25">
      <c r="A259" s="26">
        <v>0.5</v>
      </c>
      <c r="B259" s="26">
        <v>8.5</v>
      </c>
      <c r="C259" s="39">
        <v>0.4</v>
      </c>
      <c r="D259" s="26">
        <v>1.5</v>
      </c>
      <c r="E259" s="26">
        <v>165</v>
      </c>
      <c r="F259" s="66">
        <f t="shared" si="8"/>
        <v>9.0909090909090905E-3</v>
      </c>
      <c r="I259" s="30"/>
      <c r="J259" s="30"/>
    </row>
    <row r="260" spans="1:10" x14ac:dyDescent="0.25">
      <c r="A260" s="26">
        <v>0.5</v>
      </c>
      <c r="B260" s="26">
        <v>8.5</v>
      </c>
      <c r="C260" s="39">
        <v>0.4</v>
      </c>
      <c r="D260" s="26">
        <v>2</v>
      </c>
      <c r="E260" s="26">
        <v>219</v>
      </c>
      <c r="F260" s="66">
        <f t="shared" si="8"/>
        <v>9.1324200913242004E-3</v>
      </c>
      <c r="I260" s="30"/>
      <c r="J260" s="30"/>
    </row>
    <row r="261" spans="1:10" x14ac:dyDescent="0.25">
      <c r="A261" s="26">
        <v>0.5</v>
      </c>
      <c r="B261" s="26">
        <v>8.5</v>
      </c>
      <c r="C261" s="39">
        <v>0.4</v>
      </c>
      <c r="D261" s="26">
        <v>2.5</v>
      </c>
      <c r="E261" s="26">
        <v>274</v>
      </c>
      <c r="F261" s="66">
        <f t="shared" ref="F261:F324" si="9">D261/E261</f>
        <v>9.1240875912408752E-3</v>
      </c>
      <c r="I261" s="30"/>
      <c r="J261" s="30"/>
    </row>
    <row r="262" spans="1:10" x14ac:dyDescent="0.25">
      <c r="A262" s="26">
        <v>0.5</v>
      </c>
      <c r="B262" s="26">
        <v>8.5</v>
      </c>
      <c r="C262" s="39">
        <v>0.4</v>
      </c>
      <c r="D262" s="26">
        <v>3</v>
      </c>
      <c r="E262" s="26">
        <v>329</v>
      </c>
      <c r="F262" s="66">
        <f t="shared" si="9"/>
        <v>9.11854103343465E-3</v>
      </c>
      <c r="I262" s="30"/>
      <c r="J262" s="30"/>
    </row>
    <row r="263" spans="1:10" x14ac:dyDescent="0.25">
      <c r="A263" s="26">
        <v>0.5</v>
      </c>
      <c r="B263" s="26">
        <v>8.5</v>
      </c>
      <c r="C263" s="39">
        <v>0.6</v>
      </c>
      <c r="D263" s="26">
        <v>0.5</v>
      </c>
      <c r="E263" s="26">
        <v>57</v>
      </c>
      <c r="F263" s="66">
        <f t="shared" si="9"/>
        <v>8.771929824561403E-3</v>
      </c>
      <c r="I263" s="30"/>
      <c r="J263" s="30"/>
    </row>
    <row r="264" spans="1:10" x14ac:dyDescent="0.25">
      <c r="A264" s="26">
        <v>0.5</v>
      </c>
      <c r="B264" s="26">
        <v>8.5</v>
      </c>
      <c r="C264" s="39">
        <v>0.6</v>
      </c>
      <c r="D264" s="26">
        <v>1</v>
      </c>
      <c r="E264" s="26">
        <v>114</v>
      </c>
      <c r="F264" s="66">
        <f t="shared" si="9"/>
        <v>8.771929824561403E-3</v>
      </c>
      <c r="I264" s="30"/>
      <c r="J264" s="30"/>
    </row>
    <row r="265" spans="1:10" x14ac:dyDescent="0.25">
      <c r="A265" s="26">
        <v>0.5</v>
      </c>
      <c r="B265" s="26">
        <v>8.5</v>
      </c>
      <c r="C265" s="39">
        <v>0.6</v>
      </c>
      <c r="D265" s="26">
        <v>1.5</v>
      </c>
      <c r="E265" s="26">
        <v>171</v>
      </c>
      <c r="F265" s="66">
        <f t="shared" si="9"/>
        <v>8.771929824561403E-3</v>
      </c>
      <c r="I265" s="30"/>
      <c r="J265" s="30"/>
    </row>
    <row r="266" spans="1:10" x14ac:dyDescent="0.25">
      <c r="A266" s="26">
        <v>0.5</v>
      </c>
      <c r="B266" s="26">
        <v>8.5</v>
      </c>
      <c r="C266" s="39">
        <v>0.6</v>
      </c>
      <c r="D266" s="26">
        <v>2</v>
      </c>
      <c r="E266" s="26">
        <v>228</v>
      </c>
      <c r="F266" s="66">
        <f t="shared" si="9"/>
        <v>8.771929824561403E-3</v>
      </c>
      <c r="I266" s="30"/>
      <c r="J266" s="30"/>
    </row>
    <row r="267" spans="1:10" x14ac:dyDescent="0.25">
      <c r="A267" s="26">
        <v>0.5</v>
      </c>
      <c r="B267" s="26">
        <v>8.5</v>
      </c>
      <c r="C267" s="39">
        <v>0.6</v>
      </c>
      <c r="D267" s="26">
        <v>2.5</v>
      </c>
      <c r="E267" s="26">
        <v>285</v>
      </c>
      <c r="F267" s="66">
        <f t="shared" si="9"/>
        <v>8.771929824561403E-3</v>
      </c>
      <c r="I267" s="30"/>
      <c r="J267" s="30"/>
    </row>
    <row r="268" spans="1:10" x14ac:dyDescent="0.25">
      <c r="A268" s="26">
        <v>0.5</v>
      </c>
      <c r="B268" s="26">
        <v>8.5</v>
      </c>
      <c r="C268" s="39">
        <v>0.6</v>
      </c>
      <c r="D268" s="26">
        <v>3</v>
      </c>
      <c r="E268" s="26">
        <v>342</v>
      </c>
      <c r="F268" s="66">
        <f t="shared" si="9"/>
        <v>8.771929824561403E-3</v>
      </c>
      <c r="I268" s="30"/>
      <c r="J268" s="30"/>
    </row>
    <row r="269" spans="1:10" x14ac:dyDescent="0.25">
      <c r="A269" s="26">
        <v>0.5</v>
      </c>
      <c r="B269" s="26">
        <v>8.5</v>
      </c>
      <c r="C269" s="26">
        <v>0.8</v>
      </c>
      <c r="D269" s="26">
        <v>0.5</v>
      </c>
      <c r="E269" s="26">
        <v>59</v>
      </c>
      <c r="F269" s="66">
        <f t="shared" si="9"/>
        <v>8.4745762711864406E-3</v>
      </c>
      <c r="I269" s="30"/>
      <c r="J269" s="30"/>
    </row>
    <row r="270" spans="1:10" x14ac:dyDescent="0.25">
      <c r="A270" s="26">
        <v>0.5</v>
      </c>
      <c r="B270" s="26">
        <v>8.5</v>
      </c>
      <c r="C270" s="26">
        <v>0.8</v>
      </c>
      <c r="D270" s="26">
        <v>1</v>
      </c>
      <c r="E270" s="26">
        <v>118</v>
      </c>
      <c r="F270" s="66">
        <f t="shared" si="9"/>
        <v>8.4745762711864406E-3</v>
      </c>
      <c r="I270" s="30"/>
      <c r="J270" s="30"/>
    </row>
    <row r="271" spans="1:10" x14ac:dyDescent="0.25">
      <c r="A271" s="26">
        <v>0.5</v>
      </c>
      <c r="B271" s="26">
        <v>8.5</v>
      </c>
      <c r="C271" s="26">
        <v>0.8</v>
      </c>
      <c r="D271" s="26">
        <v>1.5</v>
      </c>
      <c r="E271" s="26">
        <v>177</v>
      </c>
      <c r="F271" s="66">
        <f t="shared" si="9"/>
        <v>8.4745762711864406E-3</v>
      </c>
      <c r="H271" s="30"/>
      <c r="I271" s="30"/>
      <c r="J271" s="30"/>
    </row>
    <row r="272" spans="1:10" x14ac:dyDescent="0.25">
      <c r="A272" s="26">
        <v>0.5</v>
      </c>
      <c r="B272" s="26">
        <v>8.5</v>
      </c>
      <c r="C272" s="26">
        <v>0.8</v>
      </c>
      <c r="D272" s="26">
        <v>2</v>
      </c>
      <c r="E272" s="26">
        <v>236</v>
      </c>
      <c r="F272" s="66">
        <f t="shared" si="9"/>
        <v>8.4745762711864406E-3</v>
      </c>
      <c r="H272" s="30"/>
      <c r="I272" s="30"/>
      <c r="J272" s="30"/>
    </row>
    <row r="273" spans="1:10" x14ac:dyDescent="0.25">
      <c r="A273" s="26">
        <v>0.5</v>
      </c>
      <c r="B273" s="26">
        <v>8.5</v>
      </c>
      <c r="C273" s="26">
        <v>0.8</v>
      </c>
      <c r="D273" s="26">
        <v>2.5</v>
      </c>
      <c r="E273" s="26">
        <v>295</v>
      </c>
      <c r="F273" s="66">
        <f t="shared" si="9"/>
        <v>8.4745762711864406E-3</v>
      </c>
      <c r="H273" s="30"/>
      <c r="I273" s="30"/>
      <c r="J273" s="30"/>
    </row>
    <row r="274" spans="1:10" x14ac:dyDescent="0.25">
      <c r="A274" s="26">
        <v>0.5</v>
      </c>
      <c r="B274" s="26">
        <v>8.5</v>
      </c>
      <c r="C274" s="26">
        <v>0.8</v>
      </c>
      <c r="D274" s="26">
        <v>3</v>
      </c>
      <c r="E274" s="26">
        <v>354</v>
      </c>
      <c r="F274" s="66">
        <f t="shared" si="9"/>
        <v>8.4745762711864406E-3</v>
      </c>
      <c r="H274" s="30"/>
      <c r="I274" s="30"/>
      <c r="J274" s="30"/>
    </row>
    <row r="275" spans="1:10" x14ac:dyDescent="0.25">
      <c r="A275" s="26">
        <v>0.5</v>
      </c>
      <c r="B275" s="26">
        <v>8.5</v>
      </c>
      <c r="C275" s="26">
        <v>1</v>
      </c>
      <c r="D275" s="26">
        <v>0.5</v>
      </c>
      <c r="E275" s="26">
        <v>61</v>
      </c>
      <c r="F275" s="66">
        <f t="shared" si="9"/>
        <v>8.1967213114754103E-3</v>
      </c>
      <c r="H275" s="30"/>
      <c r="I275" s="30"/>
      <c r="J275" s="30"/>
    </row>
    <row r="276" spans="1:10" x14ac:dyDescent="0.25">
      <c r="A276" s="26">
        <v>0.5</v>
      </c>
      <c r="B276" s="26">
        <v>8.5</v>
      </c>
      <c r="C276" s="26">
        <v>1</v>
      </c>
      <c r="D276" s="26">
        <v>1</v>
      </c>
      <c r="E276" s="26">
        <v>122</v>
      </c>
      <c r="F276" s="66">
        <f t="shared" si="9"/>
        <v>8.1967213114754103E-3</v>
      </c>
      <c r="H276" s="30"/>
      <c r="I276" s="30"/>
      <c r="J276" s="30"/>
    </row>
    <row r="277" spans="1:10" x14ac:dyDescent="0.25">
      <c r="A277" s="26">
        <v>0.5</v>
      </c>
      <c r="B277" s="26">
        <v>8.5</v>
      </c>
      <c r="C277" s="26">
        <v>1</v>
      </c>
      <c r="D277" s="26">
        <v>1.5</v>
      </c>
      <c r="E277" s="26">
        <v>183</v>
      </c>
      <c r="F277" s="66">
        <f t="shared" si="9"/>
        <v>8.1967213114754103E-3</v>
      </c>
      <c r="H277" s="30"/>
      <c r="I277" s="30"/>
      <c r="J277" s="30"/>
    </row>
    <row r="278" spans="1:10" x14ac:dyDescent="0.25">
      <c r="A278" s="26">
        <v>0.5</v>
      </c>
      <c r="B278" s="26">
        <v>8.5</v>
      </c>
      <c r="C278" s="26">
        <v>1</v>
      </c>
      <c r="D278" s="26">
        <v>2</v>
      </c>
      <c r="E278" s="26">
        <v>243</v>
      </c>
      <c r="F278" s="66">
        <f t="shared" si="9"/>
        <v>8.23045267489712E-3</v>
      </c>
      <c r="H278" s="30"/>
      <c r="I278" s="30"/>
      <c r="J278" s="30"/>
    </row>
    <row r="279" spans="1:10" x14ac:dyDescent="0.25">
      <c r="A279" s="26">
        <v>0.5</v>
      </c>
      <c r="B279" s="26">
        <v>8.5</v>
      </c>
      <c r="C279" s="26">
        <v>1</v>
      </c>
      <c r="D279" s="26">
        <v>2.5</v>
      </c>
      <c r="E279" s="26">
        <v>304</v>
      </c>
      <c r="F279" s="66">
        <f t="shared" si="9"/>
        <v>8.2236842105263153E-3</v>
      </c>
      <c r="H279" s="30"/>
      <c r="I279" s="30"/>
      <c r="J279" s="30"/>
    </row>
    <row r="280" spans="1:10" x14ac:dyDescent="0.25">
      <c r="A280" s="26">
        <v>0.5</v>
      </c>
      <c r="B280" s="26">
        <v>8.5</v>
      </c>
      <c r="C280" s="26">
        <v>1</v>
      </c>
      <c r="D280" s="26">
        <v>3</v>
      </c>
      <c r="E280" s="26">
        <v>365</v>
      </c>
      <c r="F280" s="66">
        <f t="shared" si="9"/>
        <v>8.21917808219178E-3</v>
      </c>
      <c r="H280" s="30"/>
      <c r="I280" s="30"/>
      <c r="J280" s="30"/>
    </row>
    <row r="281" spans="1:10" x14ac:dyDescent="0.25">
      <c r="A281" s="26">
        <v>0.5</v>
      </c>
      <c r="B281" s="26">
        <v>8.5</v>
      </c>
      <c r="C281" s="26">
        <v>1.2</v>
      </c>
      <c r="D281" s="26">
        <v>0.5</v>
      </c>
      <c r="E281" s="26">
        <v>63</v>
      </c>
      <c r="F281" s="66">
        <f t="shared" si="9"/>
        <v>7.9365079365079361E-3</v>
      </c>
      <c r="H281" s="30"/>
      <c r="I281" s="30"/>
      <c r="J281" s="30"/>
    </row>
    <row r="282" spans="1:10" x14ac:dyDescent="0.25">
      <c r="A282" s="26">
        <v>0.5</v>
      </c>
      <c r="B282" s="26">
        <v>8.5</v>
      </c>
      <c r="C282" s="26">
        <v>1.2</v>
      </c>
      <c r="D282" s="26">
        <v>1</v>
      </c>
      <c r="E282" s="26">
        <v>125</v>
      </c>
      <c r="F282" s="66">
        <f t="shared" si="9"/>
        <v>8.0000000000000002E-3</v>
      </c>
      <c r="H282" s="30"/>
      <c r="I282" s="30"/>
      <c r="J282" s="30"/>
    </row>
    <row r="283" spans="1:10" x14ac:dyDescent="0.25">
      <c r="A283" s="26">
        <v>0.5</v>
      </c>
      <c r="B283" s="26">
        <v>8.5</v>
      </c>
      <c r="C283" s="26">
        <v>1.2</v>
      </c>
      <c r="D283" s="26">
        <v>1.5</v>
      </c>
      <c r="E283" s="26">
        <v>188</v>
      </c>
      <c r="F283" s="66">
        <f t="shared" si="9"/>
        <v>7.9787234042553185E-3</v>
      </c>
      <c r="H283" s="30"/>
      <c r="I283" s="30"/>
      <c r="J283" s="30"/>
    </row>
    <row r="284" spans="1:10" x14ac:dyDescent="0.25">
      <c r="A284" s="26">
        <v>0.5</v>
      </c>
      <c r="B284" s="26">
        <v>8.5</v>
      </c>
      <c r="C284" s="26">
        <v>1.2</v>
      </c>
      <c r="D284" s="26">
        <v>2</v>
      </c>
      <c r="E284" s="26">
        <v>251</v>
      </c>
      <c r="F284" s="66">
        <f t="shared" si="9"/>
        <v>7.9681274900398405E-3</v>
      </c>
      <c r="H284" s="30"/>
      <c r="I284" s="30"/>
      <c r="J284" s="30"/>
    </row>
    <row r="285" spans="1:10" x14ac:dyDescent="0.25">
      <c r="A285" s="26">
        <v>0.5</v>
      </c>
      <c r="B285" s="26">
        <v>8.5</v>
      </c>
      <c r="C285" s="26">
        <v>1.2</v>
      </c>
      <c r="D285" s="26">
        <v>2.5</v>
      </c>
      <c r="E285" s="26">
        <v>313</v>
      </c>
      <c r="F285" s="66">
        <f t="shared" si="9"/>
        <v>7.9872204472843447E-3</v>
      </c>
      <c r="H285" s="30"/>
      <c r="I285" s="30"/>
      <c r="J285" s="30"/>
    </row>
    <row r="286" spans="1:10" x14ac:dyDescent="0.25">
      <c r="A286" s="26">
        <v>0.5</v>
      </c>
      <c r="B286" s="26">
        <v>8.5</v>
      </c>
      <c r="C286" s="26">
        <v>1.2</v>
      </c>
      <c r="D286" s="26">
        <v>3</v>
      </c>
      <c r="E286" s="26">
        <v>376</v>
      </c>
      <c r="F286" s="66">
        <f t="shared" si="9"/>
        <v>7.9787234042553185E-3</v>
      </c>
      <c r="H286" s="30"/>
      <c r="I286" s="30"/>
      <c r="J286" s="30"/>
    </row>
    <row r="287" spans="1:10" x14ac:dyDescent="0.25">
      <c r="A287" s="26">
        <v>0.5</v>
      </c>
      <c r="B287" s="26">
        <v>8.5</v>
      </c>
      <c r="C287" s="26">
        <v>1.4</v>
      </c>
      <c r="D287" s="26">
        <v>0.5</v>
      </c>
      <c r="E287" s="26">
        <v>65</v>
      </c>
      <c r="F287" s="66">
        <f t="shared" si="9"/>
        <v>7.6923076923076927E-3</v>
      </c>
      <c r="H287" s="30"/>
      <c r="I287" s="30"/>
      <c r="J287" s="30"/>
    </row>
    <row r="288" spans="1:10" x14ac:dyDescent="0.25">
      <c r="A288" s="26">
        <v>0.5</v>
      </c>
      <c r="B288" s="26">
        <v>8.5</v>
      </c>
      <c r="C288" s="26">
        <v>1.4</v>
      </c>
      <c r="D288" s="26">
        <v>1</v>
      </c>
      <c r="E288" s="26">
        <v>129</v>
      </c>
      <c r="F288" s="66">
        <f t="shared" si="9"/>
        <v>7.7519379844961239E-3</v>
      </c>
      <c r="H288" s="30"/>
      <c r="I288" s="30"/>
      <c r="J288" s="30"/>
    </row>
    <row r="289" spans="1:10" x14ac:dyDescent="0.25">
      <c r="A289" s="26">
        <v>0.5</v>
      </c>
      <c r="B289" s="26">
        <v>8.5</v>
      </c>
      <c r="C289" s="26">
        <v>1.4</v>
      </c>
      <c r="D289" s="26">
        <v>1.5</v>
      </c>
      <c r="E289" s="26">
        <v>194</v>
      </c>
      <c r="F289" s="66">
        <f t="shared" si="9"/>
        <v>7.7319587628865982E-3</v>
      </c>
      <c r="H289" s="30"/>
      <c r="I289" s="30"/>
      <c r="J289" s="30"/>
    </row>
    <row r="290" spans="1:10" x14ac:dyDescent="0.25">
      <c r="A290" s="26">
        <v>0.5</v>
      </c>
      <c r="B290" s="26">
        <v>8.5</v>
      </c>
      <c r="C290" s="26">
        <v>1.4</v>
      </c>
      <c r="D290" s="26">
        <v>2</v>
      </c>
      <c r="E290" s="26">
        <v>258</v>
      </c>
      <c r="F290" s="66">
        <f t="shared" si="9"/>
        <v>7.7519379844961239E-3</v>
      </c>
      <c r="H290" s="30"/>
      <c r="I290" s="30"/>
      <c r="J290" s="30"/>
    </row>
    <row r="291" spans="1:10" x14ac:dyDescent="0.25">
      <c r="A291" s="26">
        <v>0.5</v>
      </c>
      <c r="B291" s="26">
        <v>8.5</v>
      </c>
      <c r="C291" s="26">
        <v>1.4</v>
      </c>
      <c r="D291" s="26">
        <v>2.5</v>
      </c>
      <c r="E291" s="26">
        <v>323</v>
      </c>
      <c r="F291" s="66">
        <f t="shared" si="9"/>
        <v>7.7399380804953561E-3</v>
      </c>
      <c r="H291" s="30"/>
      <c r="I291" s="30"/>
      <c r="J291" s="30"/>
    </row>
    <row r="292" spans="1:10" x14ac:dyDescent="0.25">
      <c r="A292" s="26">
        <v>0.5</v>
      </c>
      <c r="B292" s="26">
        <v>8.5</v>
      </c>
      <c r="C292" s="26">
        <v>1.4</v>
      </c>
      <c r="D292" s="26">
        <v>3</v>
      </c>
      <c r="E292" s="26">
        <v>387</v>
      </c>
      <c r="F292" s="66">
        <f t="shared" si="9"/>
        <v>7.7519379844961239E-3</v>
      </c>
      <c r="H292" s="30"/>
      <c r="I292" s="30"/>
      <c r="J292" s="30"/>
    </row>
    <row r="293" spans="1:10" x14ac:dyDescent="0.25">
      <c r="A293" s="26">
        <v>0.5</v>
      </c>
      <c r="B293" s="26">
        <v>8.5</v>
      </c>
      <c r="C293" s="26">
        <v>1.6</v>
      </c>
      <c r="D293" s="26">
        <v>0.5</v>
      </c>
      <c r="E293" s="26">
        <v>66</v>
      </c>
      <c r="F293" s="66">
        <f t="shared" si="9"/>
        <v>7.575757575757576E-3</v>
      </c>
      <c r="H293" s="30"/>
      <c r="I293" s="30"/>
      <c r="J293" s="30"/>
    </row>
    <row r="294" spans="1:10" x14ac:dyDescent="0.25">
      <c r="A294" s="26">
        <v>0.5</v>
      </c>
      <c r="B294" s="26">
        <v>8.5</v>
      </c>
      <c r="C294" s="26">
        <v>1.6</v>
      </c>
      <c r="D294" s="26">
        <v>1</v>
      </c>
      <c r="E294" s="26">
        <v>132</v>
      </c>
      <c r="F294" s="66">
        <f t="shared" si="9"/>
        <v>7.575757575757576E-3</v>
      </c>
      <c r="H294" s="30"/>
      <c r="I294" s="30"/>
      <c r="J294" s="30"/>
    </row>
    <row r="295" spans="1:10" x14ac:dyDescent="0.25">
      <c r="A295" s="26">
        <v>0.5</v>
      </c>
      <c r="B295" s="26">
        <v>8.5</v>
      </c>
      <c r="C295" s="26">
        <v>1.6</v>
      </c>
      <c r="D295" s="26">
        <v>1.5</v>
      </c>
      <c r="E295" s="26">
        <v>199</v>
      </c>
      <c r="F295" s="66">
        <f t="shared" si="9"/>
        <v>7.537688442211055E-3</v>
      </c>
      <c r="H295" s="30"/>
      <c r="I295" s="30"/>
      <c r="J295" s="30"/>
    </row>
    <row r="296" spans="1:10" x14ac:dyDescent="0.25">
      <c r="A296" s="26">
        <v>0.5</v>
      </c>
      <c r="B296" s="26">
        <v>8.5</v>
      </c>
      <c r="C296" s="26">
        <v>1.6</v>
      </c>
      <c r="D296" s="26">
        <v>2</v>
      </c>
      <c r="E296" s="26">
        <v>265</v>
      </c>
      <c r="F296" s="66">
        <f t="shared" si="9"/>
        <v>7.5471698113207548E-3</v>
      </c>
      <c r="H296" s="30"/>
      <c r="I296" s="30"/>
      <c r="J296" s="30"/>
    </row>
    <row r="297" spans="1:10" x14ac:dyDescent="0.25">
      <c r="A297" s="26">
        <v>0.5</v>
      </c>
      <c r="B297" s="26">
        <v>8.5</v>
      </c>
      <c r="C297" s="26">
        <v>1.6</v>
      </c>
      <c r="D297" s="26">
        <v>2.5</v>
      </c>
      <c r="E297" s="26">
        <v>331</v>
      </c>
      <c r="F297" s="66">
        <f t="shared" si="9"/>
        <v>7.5528700906344415E-3</v>
      </c>
      <c r="H297" s="30"/>
      <c r="I297" s="30"/>
      <c r="J297" s="30"/>
    </row>
    <row r="298" spans="1:10" x14ac:dyDescent="0.25">
      <c r="A298" s="26">
        <v>0.5</v>
      </c>
      <c r="B298" s="26">
        <v>8.5</v>
      </c>
      <c r="C298" s="26">
        <v>1.6</v>
      </c>
      <c r="D298" s="26">
        <v>3</v>
      </c>
      <c r="E298" s="26">
        <v>397</v>
      </c>
      <c r="F298" s="66">
        <f t="shared" si="9"/>
        <v>7.556675062972292E-3</v>
      </c>
      <c r="H298" s="30"/>
      <c r="I298" s="30"/>
      <c r="J298" s="30"/>
    </row>
    <row r="299" spans="1:10" x14ac:dyDescent="0.25">
      <c r="A299" s="26">
        <v>0.5</v>
      </c>
      <c r="B299" s="26">
        <v>8.5</v>
      </c>
      <c r="C299" s="26">
        <v>1.8</v>
      </c>
      <c r="D299" s="26">
        <v>0.5</v>
      </c>
      <c r="E299" s="26">
        <v>68</v>
      </c>
      <c r="F299" s="66">
        <f t="shared" si="9"/>
        <v>7.3529411764705881E-3</v>
      </c>
      <c r="H299" s="30"/>
      <c r="I299" s="30"/>
      <c r="J299" s="30"/>
    </row>
    <row r="300" spans="1:10" x14ac:dyDescent="0.25">
      <c r="A300" s="26">
        <v>0.5</v>
      </c>
      <c r="B300" s="26">
        <v>8.5</v>
      </c>
      <c r="C300" s="26">
        <v>1.8</v>
      </c>
      <c r="D300" s="26">
        <v>1</v>
      </c>
      <c r="E300" s="26">
        <v>136</v>
      </c>
      <c r="F300" s="66">
        <f t="shared" si="9"/>
        <v>7.3529411764705881E-3</v>
      </c>
      <c r="H300" s="30"/>
      <c r="I300" s="30"/>
      <c r="J300" s="30"/>
    </row>
    <row r="301" spans="1:10" x14ac:dyDescent="0.25">
      <c r="A301" s="26">
        <v>0.5</v>
      </c>
      <c r="B301" s="26">
        <v>8.5</v>
      </c>
      <c r="C301" s="26">
        <v>1.8</v>
      </c>
      <c r="D301" s="26">
        <v>1.5</v>
      </c>
      <c r="E301" s="26">
        <v>204</v>
      </c>
      <c r="F301" s="66">
        <f t="shared" si="9"/>
        <v>7.3529411764705881E-3</v>
      </c>
      <c r="H301" s="30"/>
      <c r="I301" s="30"/>
      <c r="J301" s="30"/>
    </row>
    <row r="302" spans="1:10" x14ac:dyDescent="0.25">
      <c r="A302" s="26">
        <v>0.5</v>
      </c>
      <c r="B302" s="26">
        <v>8.5</v>
      </c>
      <c r="C302" s="26">
        <v>1.8</v>
      </c>
      <c r="D302" s="26">
        <v>2</v>
      </c>
      <c r="E302" s="26">
        <v>271</v>
      </c>
      <c r="F302" s="66">
        <f t="shared" si="9"/>
        <v>7.3800738007380072E-3</v>
      </c>
      <c r="H302" s="30"/>
      <c r="I302" s="30"/>
      <c r="J302" s="30"/>
    </row>
    <row r="303" spans="1:10" x14ac:dyDescent="0.25">
      <c r="A303" s="26">
        <v>0.5</v>
      </c>
      <c r="B303" s="26">
        <v>8.5</v>
      </c>
      <c r="C303" s="26">
        <v>1.8</v>
      </c>
      <c r="D303" s="26">
        <v>2.5</v>
      </c>
      <c r="E303" s="26">
        <v>339</v>
      </c>
      <c r="F303" s="66">
        <f t="shared" si="9"/>
        <v>7.3746312684365781E-3</v>
      </c>
      <c r="H303" s="30"/>
      <c r="I303" s="30"/>
      <c r="J303" s="30"/>
    </row>
    <row r="304" spans="1:10" x14ac:dyDescent="0.25">
      <c r="A304" s="26">
        <v>0.5</v>
      </c>
      <c r="B304" s="26">
        <v>8.5</v>
      </c>
      <c r="C304" s="26">
        <v>1.8</v>
      </c>
      <c r="D304" s="26">
        <v>3</v>
      </c>
      <c r="E304" s="26">
        <v>407</v>
      </c>
      <c r="F304" s="66">
        <f t="shared" si="9"/>
        <v>7.3710073710073713E-3</v>
      </c>
      <c r="H304" s="30"/>
      <c r="I304" s="30"/>
      <c r="J304" s="30"/>
    </row>
    <row r="305" spans="1:10" x14ac:dyDescent="0.25">
      <c r="A305" s="26">
        <v>0.5</v>
      </c>
      <c r="B305" s="26">
        <v>8.5</v>
      </c>
      <c r="C305" s="26">
        <v>2</v>
      </c>
      <c r="D305" s="26">
        <v>0.5</v>
      </c>
      <c r="E305" s="26">
        <v>70</v>
      </c>
      <c r="F305" s="66">
        <f t="shared" si="9"/>
        <v>7.1428571428571426E-3</v>
      </c>
      <c r="H305" s="30"/>
      <c r="I305" s="30"/>
      <c r="J305" s="30"/>
    </row>
    <row r="306" spans="1:10" x14ac:dyDescent="0.25">
      <c r="A306" s="26">
        <v>0.5</v>
      </c>
      <c r="B306" s="26">
        <v>8.5</v>
      </c>
      <c r="C306" s="26">
        <v>2</v>
      </c>
      <c r="D306" s="26">
        <v>1</v>
      </c>
      <c r="E306" s="26">
        <v>139</v>
      </c>
      <c r="F306" s="66">
        <f t="shared" si="9"/>
        <v>7.1942446043165471E-3</v>
      </c>
      <c r="H306" s="30"/>
      <c r="I306" s="30"/>
      <c r="J306" s="30"/>
    </row>
    <row r="307" spans="1:10" x14ac:dyDescent="0.25">
      <c r="A307" s="26">
        <v>0.5</v>
      </c>
      <c r="B307" s="26">
        <v>8.5</v>
      </c>
      <c r="C307" s="26">
        <v>2</v>
      </c>
      <c r="D307" s="26">
        <v>1.5</v>
      </c>
      <c r="E307" s="26">
        <v>209</v>
      </c>
      <c r="F307" s="66">
        <f t="shared" si="9"/>
        <v>7.1770334928229667E-3</v>
      </c>
      <c r="H307" s="30"/>
      <c r="I307" s="30"/>
      <c r="J307" s="30"/>
    </row>
    <row r="308" spans="1:10" x14ac:dyDescent="0.25">
      <c r="A308" s="26">
        <v>0.5</v>
      </c>
      <c r="B308" s="26">
        <v>8.5</v>
      </c>
      <c r="C308" s="26">
        <v>2</v>
      </c>
      <c r="D308" s="26">
        <v>2</v>
      </c>
      <c r="E308" s="26">
        <v>278</v>
      </c>
      <c r="F308" s="66">
        <f t="shared" si="9"/>
        <v>7.1942446043165471E-3</v>
      </c>
      <c r="H308" s="30"/>
      <c r="I308" s="30"/>
      <c r="J308" s="30"/>
    </row>
    <row r="309" spans="1:10" x14ac:dyDescent="0.25">
      <c r="A309" s="26">
        <v>0.5</v>
      </c>
      <c r="B309" s="26">
        <v>8.5</v>
      </c>
      <c r="C309" s="26">
        <v>2</v>
      </c>
      <c r="D309" s="26">
        <v>2.5</v>
      </c>
      <c r="E309" s="26">
        <v>348</v>
      </c>
      <c r="F309" s="66">
        <f t="shared" si="9"/>
        <v>7.1839080459770114E-3</v>
      </c>
      <c r="H309" s="30"/>
      <c r="I309" s="30"/>
      <c r="J309" s="30"/>
    </row>
    <row r="310" spans="1:10" x14ac:dyDescent="0.25">
      <c r="A310" s="26">
        <v>0.5</v>
      </c>
      <c r="B310" s="26">
        <v>8.5</v>
      </c>
      <c r="C310" s="26">
        <v>2</v>
      </c>
      <c r="D310" s="26">
        <v>3</v>
      </c>
      <c r="E310" s="26">
        <v>417</v>
      </c>
      <c r="F310" s="66">
        <f t="shared" si="9"/>
        <v>7.1942446043165471E-3</v>
      </c>
      <c r="H310" s="30"/>
      <c r="I310" s="30"/>
      <c r="J310" s="30"/>
    </row>
    <row r="311" spans="1:10" x14ac:dyDescent="0.25">
      <c r="A311" s="26">
        <v>0.5</v>
      </c>
      <c r="B311" s="26">
        <v>8.5</v>
      </c>
      <c r="C311" s="26">
        <v>2.2000000000000002</v>
      </c>
      <c r="D311" s="26">
        <v>0.5</v>
      </c>
      <c r="E311" s="26">
        <v>71</v>
      </c>
      <c r="F311" s="66">
        <f t="shared" si="9"/>
        <v>7.0422535211267607E-3</v>
      </c>
      <c r="H311" s="30"/>
      <c r="I311" s="30"/>
      <c r="J311" s="30"/>
    </row>
    <row r="312" spans="1:10" x14ac:dyDescent="0.25">
      <c r="A312" s="26">
        <v>0.5</v>
      </c>
      <c r="B312" s="26">
        <v>8.5</v>
      </c>
      <c r="C312" s="26">
        <v>2.2000000000000002</v>
      </c>
      <c r="D312" s="26">
        <v>1</v>
      </c>
      <c r="E312" s="26">
        <v>142</v>
      </c>
      <c r="F312" s="66">
        <f t="shared" si="9"/>
        <v>7.0422535211267607E-3</v>
      </c>
      <c r="H312" s="30"/>
      <c r="I312" s="30"/>
      <c r="J312" s="30"/>
    </row>
    <row r="313" spans="1:10" x14ac:dyDescent="0.25">
      <c r="A313" s="26">
        <v>0.5</v>
      </c>
      <c r="B313" s="26">
        <v>8.5</v>
      </c>
      <c r="C313" s="26">
        <v>2.2000000000000002</v>
      </c>
      <c r="D313" s="26">
        <v>1.5</v>
      </c>
      <c r="E313" s="26">
        <v>213</v>
      </c>
      <c r="F313" s="66">
        <f t="shared" si="9"/>
        <v>7.0422535211267607E-3</v>
      </c>
      <c r="H313" s="30"/>
      <c r="I313" s="30"/>
      <c r="J313" s="30"/>
    </row>
    <row r="314" spans="1:10" x14ac:dyDescent="0.25">
      <c r="A314" s="26">
        <v>0.5</v>
      </c>
      <c r="B314" s="26">
        <v>8.5</v>
      </c>
      <c r="C314" s="26">
        <v>2.2000000000000002</v>
      </c>
      <c r="D314" s="26">
        <v>2</v>
      </c>
      <c r="E314" s="26">
        <v>284</v>
      </c>
      <c r="F314" s="66">
        <f t="shared" si="9"/>
        <v>7.0422535211267607E-3</v>
      </c>
      <c r="H314" s="30"/>
      <c r="I314" s="30"/>
      <c r="J314" s="30"/>
    </row>
    <row r="315" spans="1:10" x14ac:dyDescent="0.25">
      <c r="A315" s="26">
        <v>0.5</v>
      </c>
      <c r="B315" s="26">
        <v>8.5</v>
      </c>
      <c r="C315" s="26">
        <v>2.2000000000000002</v>
      </c>
      <c r="D315" s="26">
        <v>2.5</v>
      </c>
      <c r="E315" s="26">
        <v>355</v>
      </c>
      <c r="F315" s="66">
        <f t="shared" si="9"/>
        <v>7.0422535211267607E-3</v>
      </c>
      <c r="H315" s="30"/>
      <c r="I315" s="30"/>
      <c r="J315" s="30"/>
    </row>
    <row r="316" spans="1:10" x14ac:dyDescent="0.25">
      <c r="A316" s="26">
        <v>0.5</v>
      </c>
      <c r="B316" s="26">
        <v>8.5</v>
      </c>
      <c r="C316" s="26">
        <v>2.2000000000000002</v>
      </c>
      <c r="D316" s="26">
        <v>3</v>
      </c>
      <c r="E316" s="26">
        <v>426</v>
      </c>
      <c r="F316" s="66">
        <f t="shared" si="9"/>
        <v>7.0422535211267607E-3</v>
      </c>
      <c r="H316" s="30"/>
      <c r="I316" s="30"/>
      <c r="J316" s="30"/>
    </row>
    <row r="317" spans="1:10" x14ac:dyDescent="0.25">
      <c r="A317" s="26">
        <v>0.5</v>
      </c>
      <c r="B317" s="26">
        <v>8.5</v>
      </c>
      <c r="C317" s="26">
        <v>2.4</v>
      </c>
      <c r="D317" s="26">
        <v>0.5</v>
      </c>
      <c r="E317" s="26">
        <v>73</v>
      </c>
      <c r="F317" s="66">
        <f t="shared" si="9"/>
        <v>6.8493150684931503E-3</v>
      </c>
      <c r="H317" s="30"/>
      <c r="I317" s="30"/>
      <c r="J317" s="30"/>
    </row>
    <row r="318" spans="1:10" x14ac:dyDescent="0.25">
      <c r="A318" s="26">
        <v>0.5</v>
      </c>
      <c r="B318" s="26">
        <v>8.5</v>
      </c>
      <c r="C318" s="26">
        <v>2.4</v>
      </c>
      <c r="D318" s="26">
        <v>1</v>
      </c>
      <c r="E318" s="26">
        <v>145</v>
      </c>
      <c r="F318" s="66">
        <f t="shared" si="9"/>
        <v>6.8965517241379309E-3</v>
      </c>
      <c r="H318" s="30"/>
      <c r="I318" s="30"/>
      <c r="J318" s="30"/>
    </row>
    <row r="319" spans="1:10" x14ac:dyDescent="0.25">
      <c r="A319" s="26">
        <v>0.5</v>
      </c>
      <c r="B319" s="26">
        <v>8.5</v>
      </c>
      <c r="C319" s="26">
        <v>2.4</v>
      </c>
      <c r="D319" s="26">
        <v>1.5</v>
      </c>
      <c r="E319" s="26">
        <v>218</v>
      </c>
      <c r="F319" s="66">
        <f t="shared" si="9"/>
        <v>6.8807339449541288E-3</v>
      </c>
      <c r="H319" s="30"/>
      <c r="I319" s="30"/>
      <c r="J319" s="30"/>
    </row>
    <row r="320" spans="1:10" x14ac:dyDescent="0.25">
      <c r="A320" s="26">
        <v>0.5</v>
      </c>
      <c r="B320" s="26">
        <v>8.5</v>
      </c>
      <c r="C320" s="26">
        <v>2.4</v>
      </c>
      <c r="D320" s="26">
        <v>2</v>
      </c>
      <c r="E320" s="26">
        <v>290</v>
      </c>
      <c r="F320" s="66">
        <f t="shared" si="9"/>
        <v>6.8965517241379309E-3</v>
      </c>
      <c r="H320" s="30"/>
      <c r="I320" s="30"/>
      <c r="J320" s="30"/>
    </row>
    <row r="321" spans="1:10" x14ac:dyDescent="0.25">
      <c r="A321" s="26">
        <v>0.5</v>
      </c>
      <c r="B321" s="26">
        <v>8.5</v>
      </c>
      <c r="C321" s="26">
        <v>2.4</v>
      </c>
      <c r="D321" s="26">
        <v>2.5</v>
      </c>
      <c r="E321" s="26">
        <v>363</v>
      </c>
      <c r="F321" s="66">
        <f t="shared" si="9"/>
        <v>6.8870523415977963E-3</v>
      </c>
      <c r="H321" s="30"/>
      <c r="I321" s="30"/>
      <c r="J321" s="30"/>
    </row>
    <row r="322" spans="1:10" x14ac:dyDescent="0.25">
      <c r="A322" s="26">
        <v>0.5</v>
      </c>
      <c r="B322" s="26">
        <v>8.5</v>
      </c>
      <c r="C322" s="26">
        <v>2.4</v>
      </c>
      <c r="D322" s="26">
        <v>3</v>
      </c>
      <c r="E322" s="26">
        <v>435</v>
      </c>
      <c r="F322" s="66">
        <f t="shared" si="9"/>
        <v>6.8965517241379309E-3</v>
      </c>
      <c r="H322" s="30"/>
      <c r="I322" s="30"/>
      <c r="J322" s="30"/>
    </row>
    <row r="323" spans="1:10" x14ac:dyDescent="0.25">
      <c r="A323" s="26">
        <v>0.5</v>
      </c>
      <c r="B323" s="26">
        <v>8.5</v>
      </c>
      <c r="C323" s="26">
        <v>2.6</v>
      </c>
      <c r="D323" s="26">
        <v>0.5</v>
      </c>
      <c r="E323" s="26">
        <v>74</v>
      </c>
      <c r="F323" s="66">
        <f t="shared" si="9"/>
        <v>6.7567567567567571E-3</v>
      </c>
      <c r="H323" s="30"/>
      <c r="I323" s="30"/>
      <c r="J323" s="30"/>
    </row>
    <row r="324" spans="1:10" x14ac:dyDescent="0.25">
      <c r="A324" s="26">
        <v>0.5</v>
      </c>
      <c r="B324" s="26">
        <v>8.5</v>
      </c>
      <c r="C324" s="26">
        <v>2.6</v>
      </c>
      <c r="D324" s="26">
        <v>1</v>
      </c>
      <c r="E324" s="26">
        <v>148</v>
      </c>
      <c r="F324" s="66">
        <f t="shared" si="9"/>
        <v>6.7567567567567571E-3</v>
      </c>
      <c r="H324" s="30"/>
      <c r="I324" s="30"/>
      <c r="J324" s="30"/>
    </row>
    <row r="325" spans="1:10" x14ac:dyDescent="0.25">
      <c r="A325" s="26">
        <v>0.5</v>
      </c>
      <c r="B325" s="26">
        <v>8.5</v>
      </c>
      <c r="C325" s="26">
        <v>2.6</v>
      </c>
      <c r="D325" s="26">
        <v>1.5</v>
      </c>
      <c r="E325" s="26">
        <v>222</v>
      </c>
      <c r="F325" s="66">
        <f t="shared" ref="F325:F388" si="10">D325/E325</f>
        <v>6.7567567567567571E-3</v>
      </c>
      <c r="H325" s="30"/>
      <c r="I325" s="30"/>
      <c r="J325" s="30"/>
    </row>
    <row r="326" spans="1:10" x14ac:dyDescent="0.25">
      <c r="A326" s="26">
        <v>0.5</v>
      </c>
      <c r="B326" s="26">
        <v>8.5</v>
      </c>
      <c r="C326" s="26">
        <v>2.6</v>
      </c>
      <c r="D326" s="26">
        <v>2</v>
      </c>
      <c r="E326" s="26">
        <v>296</v>
      </c>
      <c r="F326" s="66">
        <f t="shared" si="10"/>
        <v>6.7567567567567571E-3</v>
      </c>
      <c r="H326" s="30"/>
      <c r="I326" s="30"/>
      <c r="J326" s="30"/>
    </row>
    <row r="327" spans="1:10" x14ac:dyDescent="0.25">
      <c r="A327" s="26">
        <v>0.5</v>
      </c>
      <c r="B327" s="26">
        <v>8.5</v>
      </c>
      <c r="C327" s="26">
        <v>2.6</v>
      </c>
      <c r="D327" s="26">
        <v>2.5</v>
      </c>
      <c r="E327" s="26">
        <v>370</v>
      </c>
      <c r="F327" s="66">
        <f t="shared" si="10"/>
        <v>6.7567567567567571E-3</v>
      </c>
      <c r="H327" s="30"/>
      <c r="I327" s="30"/>
      <c r="J327" s="30"/>
    </row>
    <row r="328" spans="1:10" x14ac:dyDescent="0.25">
      <c r="A328" s="26">
        <v>0.5</v>
      </c>
      <c r="B328" s="26">
        <v>8.5</v>
      </c>
      <c r="C328" s="26">
        <v>2.6</v>
      </c>
      <c r="D328" s="26">
        <v>3</v>
      </c>
      <c r="E328" s="26">
        <v>444</v>
      </c>
      <c r="F328" s="66">
        <f t="shared" si="10"/>
        <v>6.7567567567567571E-3</v>
      </c>
      <c r="H328" s="30"/>
      <c r="I328" s="30"/>
      <c r="J328" s="30"/>
    </row>
    <row r="329" spans="1:10" x14ac:dyDescent="0.25">
      <c r="A329" s="26">
        <v>0.5</v>
      </c>
      <c r="B329" s="26">
        <v>8.5</v>
      </c>
      <c r="C329" s="26">
        <v>2.8</v>
      </c>
      <c r="D329" s="26">
        <v>0.5</v>
      </c>
      <c r="E329" s="26">
        <v>75</v>
      </c>
      <c r="F329" s="66">
        <f t="shared" si="10"/>
        <v>6.6666666666666671E-3</v>
      </c>
      <c r="H329" s="30"/>
      <c r="I329" s="30"/>
      <c r="J329" s="30"/>
    </row>
    <row r="330" spans="1:10" x14ac:dyDescent="0.25">
      <c r="A330" s="26">
        <v>0.5</v>
      </c>
      <c r="B330" s="26">
        <v>8.5</v>
      </c>
      <c r="C330" s="26">
        <v>2.8</v>
      </c>
      <c r="D330" s="26">
        <v>1</v>
      </c>
      <c r="E330" s="26">
        <v>151</v>
      </c>
      <c r="F330" s="66">
        <f t="shared" si="10"/>
        <v>6.6225165562913907E-3</v>
      </c>
      <c r="H330" s="30"/>
      <c r="I330" s="30"/>
      <c r="J330" s="30"/>
    </row>
    <row r="331" spans="1:10" x14ac:dyDescent="0.25">
      <c r="A331" s="26">
        <v>0.5</v>
      </c>
      <c r="B331" s="26">
        <v>8.5</v>
      </c>
      <c r="C331" s="26">
        <v>2.8</v>
      </c>
      <c r="D331" s="26">
        <v>1.5</v>
      </c>
      <c r="E331" s="26">
        <v>226</v>
      </c>
      <c r="F331" s="66">
        <f t="shared" si="10"/>
        <v>6.6371681415929203E-3</v>
      </c>
      <c r="H331" s="30"/>
      <c r="I331" s="30"/>
      <c r="J331" s="30"/>
    </row>
    <row r="332" spans="1:10" x14ac:dyDescent="0.25">
      <c r="A332" s="26">
        <v>0.5</v>
      </c>
      <c r="B332" s="26">
        <v>8.5</v>
      </c>
      <c r="C332" s="26">
        <v>2.8</v>
      </c>
      <c r="D332" s="26">
        <v>2</v>
      </c>
      <c r="E332" s="26">
        <v>301</v>
      </c>
      <c r="F332" s="66">
        <f t="shared" si="10"/>
        <v>6.6445182724252493E-3</v>
      </c>
      <c r="H332" s="30"/>
      <c r="I332" s="30"/>
      <c r="J332" s="30"/>
    </row>
    <row r="333" spans="1:10" x14ac:dyDescent="0.25">
      <c r="A333" s="26">
        <v>0.5</v>
      </c>
      <c r="B333" s="26">
        <v>8.5</v>
      </c>
      <c r="C333" s="26">
        <v>2.8</v>
      </c>
      <c r="D333" s="26">
        <v>2.5</v>
      </c>
      <c r="E333" s="26">
        <v>377</v>
      </c>
      <c r="F333" s="66">
        <f t="shared" si="10"/>
        <v>6.6312997347480109E-3</v>
      </c>
      <c r="H333" s="30"/>
      <c r="I333" s="30"/>
      <c r="J333" s="30"/>
    </row>
    <row r="334" spans="1:10" x14ac:dyDescent="0.25">
      <c r="A334" s="26">
        <v>0.5</v>
      </c>
      <c r="B334" s="26">
        <v>8.5</v>
      </c>
      <c r="C334" s="26">
        <v>2.8</v>
      </c>
      <c r="D334" s="26">
        <v>3</v>
      </c>
      <c r="E334" s="26">
        <v>452</v>
      </c>
      <c r="F334" s="66">
        <f t="shared" si="10"/>
        <v>6.6371681415929203E-3</v>
      </c>
      <c r="H334" s="30"/>
      <c r="I334" s="30"/>
      <c r="J334" s="30"/>
    </row>
    <row r="335" spans="1:10" x14ac:dyDescent="0.25">
      <c r="A335" s="26">
        <v>0.5</v>
      </c>
      <c r="B335" s="26">
        <v>8.5</v>
      </c>
      <c r="C335" s="26">
        <v>3</v>
      </c>
      <c r="D335" s="26">
        <v>0.5</v>
      </c>
      <c r="E335" s="26">
        <v>77</v>
      </c>
      <c r="F335" s="66">
        <f t="shared" si="10"/>
        <v>6.4935064935064939E-3</v>
      </c>
      <c r="H335" s="30"/>
      <c r="I335" s="30"/>
      <c r="J335" s="30"/>
    </row>
    <row r="336" spans="1:10" x14ac:dyDescent="0.25">
      <c r="A336" s="26">
        <v>0.5</v>
      </c>
      <c r="B336" s="26">
        <v>8.5</v>
      </c>
      <c r="C336" s="26">
        <v>3</v>
      </c>
      <c r="D336" s="26">
        <v>1</v>
      </c>
      <c r="E336" s="26">
        <v>153</v>
      </c>
      <c r="F336" s="66">
        <f t="shared" si="10"/>
        <v>6.5359477124183009E-3</v>
      </c>
      <c r="H336" s="30"/>
      <c r="I336" s="30"/>
      <c r="J336" s="30"/>
    </row>
    <row r="337" spans="1:10" x14ac:dyDescent="0.25">
      <c r="A337" s="26">
        <v>0.5</v>
      </c>
      <c r="B337" s="26">
        <v>8.5</v>
      </c>
      <c r="C337" s="26">
        <v>3</v>
      </c>
      <c r="D337" s="26">
        <v>1.5</v>
      </c>
      <c r="E337" s="26">
        <v>230</v>
      </c>
      <c r="F337" s="66">
        <f t="shared" si="10"/>
        <v>6.5217391304347823E-3</v>
      </c>
      <c r="H337" s="30"/>
      <c r="I337" s="30"/>
      <c r="J337" s="30"/>
    </row>
    <row r="338" spans="1:10" x14ac:dyDescent="0.25">
      <c r="A338" s="26">
        <v>0.5</v>
      </c>
      <c r="B338" s="26">
        <v>8.5</v>
      </c>
      <c r="C338" s="26">
        <v>3</v>
      </c>
      <c r="D338" s="26">
        <v>2</v>
      </c>
      <c r="E338" s="26">
        <v>307</v>
      </c>
      <c r="F338" s="66">
        <f t="shared" si="10"/>
        <v>6.5146579804560263E-3</v>
      </c>
      <c r="H338" s="30"/>
      <c r="I338" s="30"/>
      <c r="J338" s="30"/>
    </row>
    <row r="339" spans="1:10" x14ac:dyDescent="0.25">
      <c r="A339" s="26">
        <v>0.5</v>
      </c>
      <c r="B339" s="26">
        <v>8.5</v>
      </c>
      <c r="C339" s="26">
        <v>3</v>
      </c>
      <c r="D339" s="26">
        <v>2.5</v>
      </c>
      <c r="E339" s="26">
        <v>383</v>
      </c>
      <c r="F339" s="66">
        <f t="shared" si="10"/>
        <v>6.5274151436031328E-3</v>
      </c>
      <c r="H339" s="30"/>
      <c r="I339" s="30"/>
      <c r="J339" s="30"/>
    </row>
    <row r="340" spans="1:10" x14ac:dyDescent="0.25">
      <c r="A340" s="26">
        <v>0.5</v>
      </c>
      <c r="B340" s="26">
        <v>8.5</v>
      </c>
      <c r="C340" s="73">
        <v>3</v>
      </c>
      <c r="D340" s="73">
        <v>3</v>
      </c>
      <c r="E340" s="26">
        <v>460</v>
      </c>
      <c r="F340" s="66">
        <f t="shared" si="10"/>
        <v>6.5217391304347823E-3</v>
      </c>
      <c r="H340" s="30"/>
      <c r="I340" s="30"/>
      <c r="J340" s="30"/>
    </row>
    <row r="341" spans="1:10" x14ac:dyDescent="0.25">
      <c r="A341" s="26">
        <v>5</v>
      </c>
      <c r="B341" s="26">
        <v>7</v>
      </c>
      <c r="C341" s="26">
        <v>0.4</v>
      </c>
      <c r="D341" s="26">
        <v>0.5</v>
      </c>
      <c r="E341" s="26">
        <v>23</v>
      </c>
      <c r="F341" s="26">
        <f t="shared" si="10"/>
        <v>2.1739130434782608E-2</v>
      </c>
      <c r="G341" s="30"/>
      <c r="H341" s="30"/>
      <c r="I341" s="30"/>
      <c r="J341" s="30"/>
    </row>
    <row r="342" spans="1:10" x14ac:dyDescent="0.25">
      <c r="A342" s="26">
        <v>5</v>
      </c>
      <c r="B342" s="26">
        <v>7</v>
      </c>
      <c r="C342" s="26">
        <v>0.4</v>
      </c>
      <c r="D342" s="26">
        <v>1</v>
      </c>
      <c r="E342" s="26">
        <v>46</v>
      </c>
      <c r="F342" s="26">
        <f t="shared" si="10"/>
        <v>2.1739130434782608E-2</v>
      </c>
      <c r="G342" s="30"/>
      <c r="H342" s="30"/>
      <c r="I342" s="30"/>
      <c r="J342" s="30"/>
    </row>
    <row r="343" spans="1:10" x14ac:dyDescent="0.25">
      <c r="A343" s="26">
        <v>5</v>
      </c>
      <c r="B343" s="26">
        <v>7</v>
      </c>
      <c r="C343" s="26">
        <v>0.4</v>
      </c>
      <c r="D343" s="26">
        <v>1.5</v>
      </c>
      <c r="E343" s="26">
        <v>70</v>
      </c>
      <c r="F343" s="26">
        <f t="shared" si="10"/>
        <v>2.1428571428571429E-2</v>
      </c>
      <c r="G343" s="30"/>
      <c r="H343" s="30"/>
      <c r="I343" s="30"/>
      <c r="J343" s="30"/>
    </row>
    <row r="344" spans="1:10" x14ac:dyDescent="0.25">
      <c r="A344" s="26">
        <v>5</v>
      </c>
      <c r="B344" s="26">
        <v>7</v>
      </c>
      <c r="C344" s="26">
        <v>0.4</v>
      </c>
      <c r="D344" s="26">
        <v>2</v>
      </c>
      <c r="E344" s="26">
        <v>93</v>
      </c>
      <c r="F344" s="26">
        <f t="shared" si="10"/>
        <v>2.1505376344086023E-2</v>
      </c>
      <c r="G344" s="30"/>
      <c r="H344" s="30"/>
      <c r="I344" s="30"/>
      <c r="J344" s="30"/>
    </row>
    <row r="345" spans="1:10" x14ac:dyDescent="0.25">
      <c r="A345" s="26">
        <v>5</v>
      </c>
      <c r="B345" s="26">
        <v>7</v>
      </c>
      <c r="C345" s="26">
        <v>0.4</v>
      </c>
      <c r="D345" s="26">
        <v>2.5</v>
      </c>
      <c r="E345" s="26">
        <v>116</v>
      </c>
      <c r="F345" s="26">
        <f t="shared" si="10"/>
        <v>2.1551724137931036E-2</v>
      </c>
      <c r="G345" s="30"/>
      <c r="H345" s="30"/>
      <c r="I345" s="30"/>
      <c r="J345" s="30"/>
    </row>
    <row r="346" spans="1:10" x14ac:dyDescent="0.25">
      <c r="A346" s="26">
        <v>5</v>
      </c>
      <c r="B346" s="26">
        <v>7</v>
      </c>
      <c r="C346" s="26">
        <v>0.4</v>
      </c>
      <c r="D346" s="26">
        <v>3</v>
      </c>
      <c r="E346" s="26">
        <v>139</v>
      </c>
      <c r="F346" s="26">
        <f t="shared" si="10"/>
        <v>2.1582733812949641E-2</v>
      </c>
      <c r="G346" s="30"/>
      <c r="H346" s="30"/>
      <c r="I346" s="30"/>
      <c r="J346" s="30"/>
    </row>
    <row r="347" spans="1:10" x14ac:dyDescent="0.25">
      <c r="A347" s="26">
        <v>5</v>
      </c>
      <c r="B347" s="26">
        <v>7</v>
      </c>
      <c r="C347" s="26">
        <v>0.6</v>
      </c>
      <c r="D347" s="26">
        <v>0.5</v>
      </c>
      <c r="E347" s="26">
        <v>24</v>
      </c>
      <c r="F347" s="26">
        <f t="shared" si="10"/>
        <v>2.0833333333333332E-2</v>
      </c>
      <c r="G347" s="30"/>
      <c r="H347" s="30"/>
      <c r="I347" s="30"/>
      <c r="J347" s="30"/>
    </row>
    <row r="348" spans="1:10" x14ac:dyDescent="0.25">
      <c r="A348" s="26">
        <v>5</v>
      </c>
      <c r="B348" s="26">
        <v>7</v>
      </c>
      <c r="C348" s="26">
        <v>0.6</v>
      </c>
      <c r="D348" s="26">
        <v>1</v>
      </c>
      <c r="E348" s="26">
        <v>48</v>
      </c>
      <c r="F348" s="26">
        <f t="shared" si="10"/>
        <v>2.0833333333333332E-2</v>
      </c>
      <c r="G348" s="30"/>
      <c r="H348" s="30"/>
      <c r="I348" s="30"/>
      <c r="J348" s="30"/>
    </row>
    <row r="349" spans="1:10" x14ac:dyDescent="0.25">
      <c r="A349" s="26">
        <v>5</v>
      </c>
      <c r="B349" s="26">
        <v>7</v>
      </c>
      <c r="C349" s="26">
        <v>0.6</v>
      </c>
      <c r="D349" s="26">
        <v>1.5</v>
      </c>
      <c r="E349" s="26">
        <v>72</v>
      </c>
      <c r="F349" s="26">
        <f t="shared" si="10"/>
        <v>2.0833333333333332E-2</v>
      </c>
      <c r="G349" s="30"/>
      <c r="H349" s="30"/>
      <c r="I349" s="30"/>
      <c r="J349" s="30"/>
    </row>
    <row r="350" spans="1:10" x14ac:dyDescent="0.25">
      <c r="A350" s="26">
        <v>5</v>
      </c>
      <c r="B350" s="26">
        <v>7</v>
      </c>
      <c r="C350" s="26">
        <v>0.6</v>
      </c>
      <c r="D350" s="26">
        <v>2</v>
      </c>
      <c r="E350" s="26">
        <v>95</v>
      </c>
      <c r="F350" s="26">
        <f t="shared" si="10"/>
        <v>2.1052631578947368E-2</v>
      </c>
      <c r="G350" s="30"/>
      <c r="H350" s="30"/>
      <c r="I350" s="30"/>
      <c r="J350" s="30"/>
    </row>
    <row r="351" spans="1:10" x14ac:dyDescent="0.25">
      <c r="A351" s="26">
        <v>5</v>
      </c>
      <c r="B351" s="26">
        <v>7</v>
      </c>
      <c r="C351" s="26">
        <v>0.6</v>
      </c>
      <c r="D351" s="26">
        <v>2.5</v>
      </c>
      <c r="E351" s="26">
        <v>119</v>
      </c>
      <c r="F351" s="26">
        <f t="shared" si="10"/>
        <v>2.100840336134454E-2</v>
      </c>
      <c r="G351" s="30"/>
      <c r="H351" s="30"/>
      <c r="I351" s="30"/>
      <c r="J351" s="30"/>
    </row>
    <row r="352" spans="1:10" x14ac:dyDescent="0.25">
      <c r="A352" s="26">
        <v>5</v>
      </c>
      <c r="B352" s="26">
        <v>7</v>
      </c>
      <c r="C352" s="26">
        <v>0.6</v>
      </c>
      <c r="D352" s="26">
        <v>3</v>
      </c>
      <c r="E352" s="26">
        <v>143</v>
      </c>
      <c r="F352" s="26">
        <f t="shared" si="10"/>
        <v>2.097902097902098E-2</v>
      </c>
      <c r="G352" s="30"/>
      <c r="H352" s="30"/>
      <c r="I352" s="30"/>
      <c r="J352" s="30"/>
    </row>
    <row r="353" spans="1:10" x14ac:dyDescent="0.25">
      <c r="A353" s="26">
        <v>5</v>
      </c>
      <c r="B353" s="26">
        <v>7</v>
      </c>
      <c r="C353" s="26">
        <v>0.8</v>
      </c>
      <c r="D353" s="26">
        <v>0.5</v>
      </c>
      <c r="E353" s="26">
        <v>24</v>
      </c>
      <c r="F353" s="26">
        <f t="shared" si="10"/>
        <v>2.0833333333333332E-2</v>
      </c>
      <c r="G353" s="30"/>
      <c r="H353" s="30"/>
      <c r="I353" s="30"/>
      <c r="J353" s="30"/>
    </row>
    <row r="354" spans="1:10" x14ac:dyDescent="0.25">
      <c r="A354" s="26">
        <v>5</v>
      </c>
      <c r="B354" s="26">
        <v>7</v>
      </c>
      <c r="C354" s="26">
        <v>0.8</v>
      </c>
      <c r="D354" s="26">
        <v>1</v>
      </c>
      <c r="E354" s="26">
        <v>49</v>
      </c>
      <c r="F354" s="26">
        <f t="shared" si="10"/>
        <v>2.0408163265306121E-2</v>
      </c>
      <c r="G354" s="30"/>
      <c r="H354" s="30"/>
      <c r="I354" s="30"/>
      <c r="J354" s="30"/>
    </row>
    <row r="355" spans="1:10" x14ac:dyDescent="0.25">
      <c r="A355" s="26">
        <v>5</v>
      </c>
      <c r="B355" s="26">
        <v>7</v>
      </c>
      <c r="C355" s="26">
        <v>0.8</v>
      </c>
      <c r="D355" s="26">
        <v>1.5</v>
      </c>
      <c r="E355" s="26">
        <v>73</v>
      </c>
      <c r="F355" s="26">
        <f t="shared" si="10"/>
        <v>2.0547945205479451E-2</v>
      </c>
      <c r="G355" s="30"/>
      <c r="H355" s="30"/>
      <c r="I355" s="30"/>
      <c r="J355" s="30"/>
    </row>
    <row r="356" spans="1:10" x14ac:dyDescent="0.25">
      <c r="A356" s="26">
        <v>5</v>
      </c>
      <c r="B356" s="26">
        <v>7</v>
      </c>
      <c r="C356" s="26">
        <v>0.8</v>
      </c>
      <c r="D356" s="26">
        <v>2</v>
      </c>
      <c r="E356" s="26">
        <v>97</v>
      </c>
      <c r="F356" s="26">
        <f t="shared" si="10"/>
        <v>2.0618556701030927E-2</v>
      </c>
      <c r="G356" s="30"/>
      <c r="H356" s="30"/>
      <c r="I356" s="30"/>
      <c r="J356" s="30"/>
    </row>
    <row r="357" spans="1:10" x14ac:dyDescent="0.25">
      <c r="A357" s="26">
        <v>5</v>
      </c>
      <c r="B357" s="26">
        <v>7</v>
      </c>
      <c r="C357" s="26">
        <v>0.8</v>
      </c>
      <c r="D357" s="26">
        <v>2.5</v>
      </c>
      <c r="E357" s="26">
        <v>122</v>
      </c>
      <c r="F357" s="26">
        <f t="shared" si="10"/>
        <v>2.0491803278688523E-2</v>
      </c>
      <c r="G357" s="30"/>
      <c r="H357" s="30"/>
      <c r="I357" s="30"/>
      <c r="J357" s="30"/>
    </row>
    <row r="358" spans="1:10" x14ac:dyDescent="0.25">
      <c r="A358" s="26">
        <v>5</v>
      </c>
      <c r="B358" s="26">
        <v>7</v>
      </c>
      <c r="C358" s="26">
        <v>0.8</v>
      </c>
      <c r="D358" s="26">
        <v>3</v>
      </c>
      <c r="E358" s="26">
        <v>146</v>
      </c>
      <c r="F358" s="26">
        <f t="shared" si="10"/>
        <v>2.0547945205479451E-2</v>
      </c>
      <c r="G358" s="30"/>
      <c r="H358" s="30"/>
      <c r="I358" s="30"/>
      <c r="J358" s="30"/>
    </row>
    <row r="359" spans="1:10" x14ac:dyDescent="0.25">
      <c r="A359" s="26">
        <v>5</v>
      </c>
      <c r="B359" s="26">
        <v>7</v>
      </c>
      <c r="C359" s="26">
        <v>1</v>
      </c>
      <c r="D359" s="26">
        <v>0.5</v>
      </c>
      <c r="E359" s="26">
        <v>25</v>
      </c>
      <c r="F359" s="26">
        <f t="shared" si="10"/>
        <v>0.02</v>
      </c>
      <c r="G359" s="30"/>
      <c r="H359" s="30"/>
      <c r="I359" s="30"/>
      <c r="J359" s="30"/>
    </row>
    <row r="360" spans="1:10" x14ac:dyDescent="0.25">
      <c r="A360" s="26">
        <v>5</v>
      </c>
      <c r="B360" s="26">
        <v>7</v>
      </c>
      <c r="C360" s="26">
        <v>1</v>
      </c>
      <c r="D360" s="26">
        <v>1</v>
      </c>
      <c r="E360" s="26">
        <v>50</v>
      </c>
      <c r="F360" s="26">
        <f t="shared" si="10"/>
        <v>0.02</v>
      </c>
      <c r="G360" s="30"/>
      <c r="H360" s="30"/>
      <c r="I360" s="30"/>
      <c r="J360" s="30"/>
    </row>
    <row r="361" spans="1:10" x14ac:dyDescent="0.25">
      <c r="A361" s="26">
        <v>5</v>
      </c>
      <c r="B361" s="26">
        <v>7</v>
      </c>
      <c r="C361" s="26">
        <v>1</v>
      </c>
      <c r="D361" s="26">
        <v>1.5</v>
      </c>
      <c r="E361" s="26">
        <v>75</v>
      </c>
      <c r="F361" s="26">
        <f t="shared" si="10"/>
        <v>0.02</v>
      </c>
      <c r="G361" s="30"/>
      <c r="H361" s="30"/>
      <c r="I361" s="30"/>
      <c r="J361" s="30"/>
    </row>
    <row r="362" spans="1:10" x14ac:dyDescent="0.25">
      <c r="A362" s="26">
        <v>5</v>
      </c>
      <c r="B362" s="26">
        <v>7</v>
      </c>
      <c r="C362" s="26">
        <v>1</v>
      </c>
      <c r="D362" s="26">
        <v>2</v>
      </c>
      <c r="E362" s="26">
        <v>99</v>
      </c>
      <c r="F362" s="26">
        <f t="shared" si="10"/>
        <v>2.0202020202020204E-2</v>
      </c>
      <c r="G362" s="30"/>
      <c r="H362" s="30"/>
      <c r="I362" s="30"/>
      <c r="J362" s="30"/>
    </row>
    <row r="363" spans="1:10" x14ac:dyDescent="0.25">
      <c r="A363" s="26">
        <v>5</v>
      </c>
      <c r="B363" s="26">
        <v>7</v>
      </c>
      <c r="C363" s="26">
        <v>1</v>
      </c>
      <c r="D363" s="26">
        <v>2.5</v>
      </c>
      <c r="E363" s="26">
        <v>124</v>
      </c>
      <c r="F363" s="26">
        <f t="shared" si="10"/>
        <v>2.0161290322580645E-2</v>
      </c>
      <c r="G363" s="30"/>
      <c r="H363" s="30"/>
      <c r="I363" s="30"/>
      <c r="J363" s="30"/>
    </row>
    <row r="364" spans="1:10" x14ac:dyDescent="0.25">
      <c r="A364" s="26">
        <v>5</v>
      </c>
      <c r="B364" s="26">
        <v>7</v>
      </c>
      <c r="C364" s="26">
        <v>1</v>
      </c>
      <c r="D364" s="26">
        <v>3</v>
      </c>
      <c r="E364" s="26">
        <v>149</v>
      </c>
      <c r="F364" s="26">
        <f t="shared" si="10"/>
        <v>2.0134228187919462E-2</v>
      </c>
      <c r="G364" s="30"/>
      <c r="H364" s="30"/>
      <c r="I364" s="30"/>
      <c r="J364" s="30"/>
    </row>
    <row r="365" spans="1:10" x14ac:dyDescent="0.25">
      <c r="A365" s="26">
        <v>5</v>
      </c>
      <c r="B365" s="26">
        <v>7</v>
      </c>
      <c r="C365" s="26">
        <v>1.2</v>
      </c>
      <c r="D365" s="26">
        <v>0.5</v>
      </c>
      <c r="E365" s="26">
        <v>25</v>
      </c>
      <c r="F365" s="26">
        <f t="shared" si="10"/>
        <v>0.02</v>
      </c>
      <c r="G365" s="30"/>
      <c r="H365" s="30"/>
      <c r="I365" s="30"/>
      <c r="J365" s="30"/>
    </row>
    <row r="366" spans="1:10" x14ac:dyDescent="0.25">
      <c r="A366" s="26">
        <v>5</v>
      </c>
      <c r="B366" s="26">
        <v>7</v>
      </c>
      <c r="C366" s="26">
        <v>1.2</v>
      </c>
      <c r="D366" s="26">
        <v>1</v>
      </c>
      <c r="E366" s="26">
        <v>51</v>
      </c>
      <c r="F366" s="26">
        <f t="shared" si="10"/>
        <v>1.9607843137254902E-2</v>
      </c>
      <c r="G366" s="30"/>
      <c r="H366" s="30"/>
      <c r="I366" s="30"/>
      <c r="J366" s="30"/>
    </row>
    <row r="367" spans="1:10" x14ac:dyDescent="0.25">
      <c r="A367" s="26">
        <v>5</v>
      </c>
      <c r="B367" s="26">
        <v>7</v>
      </c>
      <c r="C367" s="26">
        <v>1.2</v>
      </c>
      <c r="D367" s="26">
        <v>1.5</v>
      </c>
      <c r="E367" s="26">
        <v>76</v>
      </c>
      <c r="F367" s="26">
        <f t="shared" si="10"/>
        <v>1.9736842105263157E-2</v>
      </c>
      <c r="G367" s="30"/>
      <c r="H367" s="30"/>
      <c r="I367" s="30"/>
      <c r="J367" s="30"/>
    </row>
    <row r="368" spans="1:10" x14ac:dyDescent="0.25">
      <c r="A368" s="26">
        <v>5</v>
      </c>
      <c r="B368" s="26">
        <v>7</v>
      </c>
      <c r="C368" s="26">
        <v>1.2</v>
      </c>
      <c r="D368" s="26">
        <v>2</v>
      </c>
      <c r="E368" s="26">
        <v>101</v>
      </c>
      <c r="F368" s="26">
        <f t="shared" si="10"/>
        <v>1.9801980198019802E-2</v>
      </c>
      <c r="G368" s="30"/>
      <c r="H368" s="30"/>
      <c r="I368" s="30"/>
      <c r="J368" s="30"/>
    </row>
    <row r="369" spans="1:10" x14ac:dyDescent="0.25">
      <c r="A369" s="26">
        <v>5</v>
      </c>
      <c r="B369" s="26">
        <v>7</v>
      </c>
      <c r="C369" s="26">
        <v>1.2</v>
      </c>
      <c r="D369" s="26">
        <v>2.5</v>
      </c>
      <c r="E369" s="26">
        <v>127</v>
      </c>
      <c r="F369" s="26">
        <f t="shared" si="10"/>
        <v>1.968503937007874E-2</v>
      </c>
      <c r="G369" s="30"/>
      <c r="H369" s="30"/>
      <c r="I369" s="30"/>
      <c r="J369" s="30"/>
    </row>
    <row r="370" spans="1:10" x14ac:dyDescent="0.25">
      <c r="A370" s="26">
        <v>5</v>
      </c>
      <c r="B370" s="26">
        <v>7</v>
      </c>
      <c r="C370" s="26">
        <v>1.2</v>
      </c>
      <c r="D370" s="26">
        <v>3</v>
      </c>
      <c r="E370" s="26">
        <v>152</v>
      </c>
      <c r="F370" s="26">
        <f t="shared" si="10"/>
        <v>1.9736842105263157E-2</v>
      </c>
      <c r="G370" s="30"/>
      <c r="H370" s="30"/>
      <c r="I370" s="30"/>
      <c r="J370" s="30"/>
    </row>
    <row r="371" spans="1:10" x14ac:dyDescent="0.25">
      <c r="A371" s="26">
        <v>5</v>
      </c>
      <c r="B371" s="26">
        <v>7</v>
      </c>
      <c r="C371" s="26">
        <v>1.4</v>
      </c>
      <c r="D371" s="26">
        <v>0.5</v>
      </c>
      <c r="E371" s="26">
        <v>26</v>
      </c>
      <c r="F371" s="26">
        <f t="shared" si="10"/>
        <v>1.9230769230769232E-2</v>
      </c>
      <c r="G371" s="30"/>
      <c r="H371" s="30"/>
      <c r="I371" s="30"/>
      <c r="J371" s="30"/>
    </row>
    <row r="372" spans="1:10" x14ac:dyDescent="0.25">
      <c r="A372" s="26">
        <v>5</v>
      </c>
      <c r="B372" s="26">
        <v>7</v>
      </c>
      <c r="C372" s="26">
        <v>1.4</v>
      </c>
      <c r="D372" s="26">
        <v>1</v>
      </c>
      <c r="E372" s="26">
        <v>52</v>
      </c>
      <c r="F372" s="26">
        <f t="shared" si="10"/>
        <v>1.9230769230769232E-2</v>
      </c>
      <c r="G372" s="30"/>
      <c r="H372" s="30"/>
      <c r="I372" s="30"/>
      <c r="J372" s="30"/>
    </row>
    <row r="373" spans="1:10" x14ac:dyDescent="0.25">
      <c r="A373" s="26">
        <v>5</v>
      </c>
      <c r="B373" s="26">
        <v>7</v>
      </c>
      <c r="C373" s="26">
        <v>1.4</v>
      </c>
      <c r="D373" s="26">
        <v>1.5</v>
      </c>
      <c r="E373" s="26">
        <v>78</v>
      </c>
      <c r="F373" s="26">
        <f t="shared" si="10"/>
        <v>1.9230769230769232E-2</v>
      </c>
      <c r="G373" s="30"/>
      <c r="H373" s="30"/>
      <c r="I373" s="30"/>
      <c r="J373" s="30"/>
    </row>
    <row r="374" spans="1:10" x14ac:dyDescent="0.25">
      <c r="A374" s="26">
        <v>5</v>
      </c>
      <c r="B374" s="26">
        <v>7</v>
      </c>
      <c r="C374" s="26">
        <v>1.4</v>
      </c>
      <c r="D374" s="26">
        <v>2</v>
      </c>
      <c r="E374" s="26">
        <v>103</v>
      </c>
      <c r="F374" s="26">
        <f t="shared" si="10"/>
        <v>1.9417475728155338E-2</v>
      </c>
      <c r="G374" s="30"/>
      <c r="H374" s="30"/>
      <c r="I374" s="30"/>
      <c r="J374" s="30"/>
    </row>
    <row r="375" spans="1:10" x14ac:dyDescent="0.25">
      <c r="A375" s="26">
        <v>5</v>
      </c>
      <c r="B375" s="26">
        <v>7</v>
      </c>
      <c r="C375" s="26">
        <v>1.4</v>
      </c>
      <c r="D375" s="26">
        <v>2.5</v>
      </c>
      <c r="E375" s="26">
        <v>129</v>
      </c>
      <c r="F375" s="26">
        <f t="shared" si="10"/>
        <v>1.937984496124031E-2</v>
      </c>
      <c r="G375" s="30"/>
      <c r="H375" s="30"/>
      <c r="I375" s="30"/>
      <c r="J375" s="30"/>
    </row>
    <row r="376" spans="1:10" x14ac:dyDescent="0.25">
      <c r="A376" s="26">
        <v>5</v>
      </c>
      <c r="B376" s="26">
        <v>7</v>
      </c>
      <c r="C376" s="26">
        <v>1.4</v>
      </c>
      <c r="D376" s="26">
        <v>3</v>
      </c>
      <c r="E376" s="26">
        <v>155</v>
      </c>
      <c r="F376" s="26">
        <f t="shared" si="10"/>
        <v>1.935483870967742E-2</v>
      </c>
      <c r="G376" s="30"/>
      <c r="H376" s="30"/>
      <c r="I376" s="30"/>
      <c r="J376" s="30"/>
    </row>
    <row r="377" spans="1:10" x14ac:dyDescent="0.25">
      <c r="A377" s="26">
        <v>5</v>
      </c>
      <c r="B377" s="26">
        <v>7</v>
      </c>
      <c r="C377" s="26">
        <v>1.6</v>
      </c>
      <c r="D377" s="26">
        <v>0.5</v>
      </c>
      <c r="E377" s="26">
        <v>26</v>
      </c>
      <c r="F377" s="26">
        <f t="shared" si="10"/>
        <v>1.9230769230769232E-2</v>
      </c>
      <c r="G377" s="30"/>
      <c r="H377" s="30"/>
      <c r="I377" s="30"/>
      <c r="J377" s="30"/>
    </row>
    <row r="378" spans="1:10" x14ac:dyDescent="0.25">
      <c r="A378" s="26">
        <v>5</v>
      </c>
      <c r="B378" s="26">
        <v>7</v>
      </c>
      <c r="C378" s="26">
        <v>1.6</v>
      </c>
      <c r="D378" s="26">
        <v>1</v>
      </c>
      <c r="E378" s="26">
        <v>53</v>
      </c>
      <c r="F378" s="26">
        <f t="shared" si="10"/>
        <v>1.8867924528301886E-2</v>
      </c>
      <c r="G378" s="30"/>
      <c r="H378" s="30"/>
      <c r="I378" s="30"/>
      <c r="J378" s="30"/>
    </row>
    <row r="379" spans="1:10" x14ac:dyDescent="0.25">
      <c r="A379" s="26">
        <v>5</v>
      </c>
      <c r="B379" s="26">
        <v>7</v>
      </c>
      <c r="C379" s="26">
        <v>1.6</v>
      </c>
      <c r="D379" s="26">
        <v>1.5</v>
      </c>
      <c r="E379" s="26">
        <v>79</v>
      </c>
      <c r="F379" s="26">
        <f t="shared" si="10"/>
        <v>1.8987341772151899E-2</v>
      </c>
      <c r="G379" s="30"/>
      <c r="H379" s="30"/>
      <c r="I379" s="30"/>
      <c r="J379" s="30"/>
    </row>
    <row r="380" spans="1:10" x14ac:dyDescent="0.25">
      <c r="A380" s="26">
        <v>5</v>
      </c>
      <c r="B380" s="26">
        <v>7</v>
      </c>
      <c r="C380" s="26">
        <v>1.6</v>
      </c>
      <c r="D380" s="26">
        <v>2</v>
      </c>
      <c r="E380" s="26">
        <v>105</v>
      </c>
      <c r="F380" s="26">
        <f t="shared" si="10"/>
        <v>1.9047619047619049E-2</v>
      </c>
      <c r="G380" s="30"/>
      <c r="H380" s="30"/>
      <c r="I380" s="30"/>
      <c r="J380" s="30"/>
    </row>
    <row r="381" spans="1:10" x14ac:dyDescent="0.25">
      <c r="A381" s="26">
        <v>5</v>
      </c>
      <c r="B381" s="26">
        <v>7</v>
      </c>
      <c r="C381" s="26">
        <v>1.6</v>
      </c>
      <c r="D381" s="26">
        <v>2.5</v>
      </c>
      <c r="E381" s="26">
        <v>132</v>
      </c>
      <c r="F381" s="26">
        <f t="shared" si="10"/>
        <v>1.893939393939394E-2</v>
      </c>
      <c r="G381" s="30"/>
      <c r="H381" s="30"/>
      <c r="I381" s="30"/>
      <c r="J381" s="30"/>
    </row>
    <row r="382" spans="1:10" x14ac:dyDescent="0.25">
      <c r="A382" s="26">
        <v>5</v>
      </c>
      <c r="B382" s="26">
        <v>7</v>
      </c>
      <c r="C382" s="26">
        <v>1.6</v>
      </c>
      <c r="D382" s="26">
        <v>3</v>
      </c>
      <c r="E382" s="26">
        <v>158</v>
      </c>
      <c r="F382" s="26">
        <f t="shared" si="10"/>
        <v>1.8987341772151899E-2</v>
      </c>
      <c r="G382" s="30"/>
      <c r="H382" s="30"/>
      <c r="I382" s="30"/>
      <c r="J382" s="30"/>
    </row>
    <row r="383" spans="1:10" x14ac:dyDescent="0.25">
      <c r="A383" s="26">
        <v>5</v>
      </c>
      <c r="B383" s="26">
        <v>7</v>
      </c>
      <c r="C383" s="26">
        <v>1.8</v>
      </c>
      <c r="D383" s="26">
        <v>0.5</v>
      </c>
      <c r="E383" s="26">
        <v>27</v>
      </c>
      <c r="F383" s="26">
        <f t="shared" si="10"/>
        <v>1.8518518518518517E-2</v>
      </c>
      <c r="G383" s="30"/>
      <c r="H383" s="30"/>
      <c r="I383" s="30"/>
      <c r="J383" s="30"/>
    </row>
    <row r="384" spans="1:10" x14ac:dyDescent="0.25">
      <c r="A384" s="26">
        <v>5</v>
      </c>
      <c r="B384" s="26">
        <v>7</v>
      </c>
      <c r="C384" s="26">
        <v>1.8</v>
      </c>
      <c r="D384" s="26">
        <v>1</v>
      </c>
      <c r="E384" s="26">
        <v>54</v>
      </c>
      <c r="F384" s="26">
        <f t="shared" si="10"/>
        <v>1.8518518518518517E-2</v>
      </c>
      <c r="G384" s="30"/>
      <c r="H384" s="30"/>
      <c r="I384" s="30"/>
      <c r="J384" s="30"/>
    </row>
    <row r="385" spans="1:10" x14ac:dyDescent="0.25">
      <c r="A385" s="26">
        <v>5</v>
      </c>
      <c r="B385" s="26">
        <v>7</v>
      </c>
      <c r="C385" s="26">
        <v>1.8</v>
      </c>
      <c r="D385" s="26">
        <v>1.5</v>
      </c>
      <c r="E385" s="26">
        <v>81</v>
      </c>
      <c r="F385" s="26">
        <f t="shared" si="10"/>
        <v>1.8518518518518517E-2</v>
      </c>
      <c r="G385" s="30"/>
      <c r="H385" s="30"/>
      <c r="I385" s="30"/>
      <c r="J385" s="30"/>
    </row>
    <row r="386" spans="1:10" x14ac:dyDescent="0.25">
      <c r="A386" s="26">
        <v>5</v>
      </c>
      <c r="B386" s="26">
        <v>7</v>
      </c>
      <c r="C386" s="26">
        <v>1.8</v>
      </c>
      <c r="D386" s="26">
        <v>2</v>
      </c>
      <c r="E386" s="26">
        <v>108</v>
      </c>
      <c r="F386" s="26">
        <f t="shared" si="10"/>
        <v>1.8518518518518517E-2</v>
      </c>
      <c r="G386" s="30"/>
      <c r="H386" s="30"/>
      <c r="I386" s="30"/>
      <c r="J386" s="30"/>
    </row>
    <row r="387" spans="1:10" x14ac:dyDescent="0.25">
      <c r="A387" s="26">
        <v>5</v>
      </c>
      <c r="B387" s="26">
        <v>7</v>
      </c>
      <c r="C387" s="26">
        <v>1.8</v>
      </c>
      <c r="D387" s="26">
        <v>2.5</v>
      </c>
      <c r="E387" s="26">
        <v>135</v>
      </c>
      <c r="F387" s="26">
        <f t="shared" si="10"/>
        <v>1.8518518518518517E-2</v>
      </c>
      <c r="G387" s="30"/>
      <c r="H387" s="30"/>
      <c r="I387" s="30"/>
      <c r="J387" s="30"/>
    </row>
    <row r="388" spans="1:10" x14ac:dyDescent="0.25">
      <c r="A388" s="26">
        <v>5</v>
      </c>
      <c r="B388" s="26">
        <v>7</v>
      </c>
      <c r="C388" s="26">
        <v>1.8</v>
      </c>
      <c r="D388" s="26">
        <v>3</v>
      </c>
      <c r="E388" s="26">
        <v>162</v>
      </c>
      <c r="F388" s="26">
        <f t="shared" si="10"/>
        <v>1.8518518518518517E-2</v>
      </c>
      <c r="G388" s="30"/>
      <c r="H388" s="30"/>
      <c r="I388" s="30"/>
      <c r="J388" s="30"/>
    </row>
    <row r="389" spans="1:10" x14ac:dyDescent="0.25">
      <c r="A389" s="26">
        <v>5</v>
      </c>
      <c r="B389" s="26">
        <v>7</v>
      </c>
      <c r="C389" s="26">
        <v>2</v>
      </c>
      <c r="D389" s="26">
        <v>0.5</v>
      </c>
      <c r="E389" s="26">
        <v>28</v>
      </c>
      <c r="F389" s="26">
        <f t="shared" ref="F389:F452" si="11">D389/E389</f>
        <v>1.7857142857142856E-2</v>
      </c>
      <c r="G389" s="30"/>
      <c r="H389" s="30"/>
      <c r="I389" s="30"/>
      <c r="J389" s="30"/>
    </row>
    <row r="390" spans="1:10" x14ac:dyDescent="0.25">
      <c r="A390" s="26">
        <v>5</v>
      </c>
      <c r="B390" s="26">
        <v>7</v>
      </c>
      <c r="C390" s="26">
        <v>2</v>
      </c>
      <c r="D390" s="26">
        <v>1</v>
      </c>
      <c r="E390" s="26">
        <v>55</v>
      </c>
      <c r="F390" s="26">
        <f t="shared" si="11"/>
        <v>1.8181818181818181E-2</v>
      </c>
      <c r="G390" s="30"/>
      <c r="H390" s="30"/>
      <c r="I390" s="30"/>
      <c r="J390" s="30"/>
    </row>
    <row r="391" spans="1:10" x14ac:dyDescent="0.25">
      <c r="A391" s="26">
        <v>5</v>
      </c>
      <c r="B391" s="26">
        <v>7</v>
      </c>
      <c r="C391" s="26">
        <v>2</v>
      </c>
      <c r="D391" s="26">
        <v>1.5</v>
      </c>
      <c r="E391" s="26">
        <v>83</v>
      </c>
      <c r="F391" s="26">
        <f t="shared" si="11"/>
        <v>1.8072289156626505E-2</v>
      </c>
      <c r="G391" s="30"/>
      <c r="H391" s="30"/>
      <c r="I391" s="30"/>
      <c r="J391" s="30"/>
    </row>
    <row r="392" spans="1:10" x14ac:dyDescent="0.25">
      <c r="A392" s="26">
        <v>5</v>
      </c>
      <c r="B392" s="26">
        <v>7</v>
      </c>
      <c r="C392" s="26">
        <v>2</v>
      </c>
      <c r="D392" s="26">
        <v>2</v>
      </c>
      <c r="E392" s="26">
        <v>110</v>
      </c>
      <c r="F392" s="26">
        <f t="shared" si="11"/>
        <v>1.8181818181818181E-2</v>
      </c>
      <c r="G392" s="30"/>
      <c r="H392" s="30"/>
      <c r="I392" s="30"/>
      <c r="J392" s="30"/>
    </row>
    <row r="393" spans="1:10" x14ac:dyDescent="0.25">
      <c r="A393" s="26">
        <v>5</v>
      </c>
      <c r="B393" s="26">
        <v>7</v>
      </c>
      <c r="C393" s="26">
        <v>2</v>
      </c>
      <c r="D393" s="26">
        <v>2.5</v>
      </c>
      <c r="E393" s="26">
        <v>138</v>
      </c>
      <c r="F393" s="26">
        <f t="shared" si="11"/>
        <v>1.8115942028985508E-2</v>
      </c>
      <c r="G393" s="30"/>
      <c r="H393" s="30"/>
      <c r="I393" s="30"/>
      <c r="J393" s="30"/>
    </row>
    <row r="394" spans="1:10" x14ac:dyDescent="0.25">
      <c r="A394" s="26">
        <v>5</v>
      </c>
      <c r="B394" s="26">
        <v>7</v>
      </c>
      <c r="C394" s="26">
        <v>2</v>
      </c>
      <c r="D394" s="26">
        <v>3</v>
      </c>
      <c r="E394" s="26">
        <v>165</v>
      </c>
      <c r="F394" s="26">
        <f t="shared" si="11"/>
        <v>1.8181818181818181E-2</v>
      </c>
      <c r="G394" s="30"/>
      <c r="H394" s="30"/>
      <c r="I394" s="30"/>
      <c r="J394" s="30"/>
    </row>
    <row r="395" spans="1:10" x14ac:dyDescent="0.25">
      <c r="A395" s="26">
        <v>5</v>
      </c>
      <c r="B395" s="26">
        <v>7</v>
      </c>
      <c r="C395" s="26">
        <v>2.2000000000000002</v>
      </c>
      <c r="D395" s="26">
        <v>0.5</v>
      </c>
      <c r="E395" s="26">
        <v>28</v>
      </c>
      <c r="F395" s="26">
        <f t="shared" si="11"/>
        <v>1.7857142857142856E-2</v>
      </c>
      <c r="G395" s="30"/>
      <c r="H395" s="30"/>
      <c r="I395" s="30"/>
      <c r="J395" s="30"/>
    </row>
    <row r="396" spans="1:10" x14ac:dyDescent="0.25">
      <c r="A396" s="26">
        <v>5</v>
      </c>
      <c r="B396" s="26">
        <v>7</v>
      </c>
      <c r="C396" s="26">
        <v>2.2000000000000002</v>
      </c>
      <c r="D396" s="26">
        <v>1</v>
      </c>
      <c r="E396" s="26">
        <v>56</v>
      </c>
      <c r="F396" s="26">
        <f t="shared" si="11"/>
        <v>1.7857142857142856E-2</v>
      </c>
      <c r="G396" s="30"/>
      <c r="H396" s="30"/>
      <c r="I396" s="30"/>
      <c r="J396" s="30"/>
    </row>
    <row r="397" spans="1:10" x14ac:dyDescent="0.25">
      <c r="A397" s="26">
        <v>5</v>
      </c>
      <c r="B397" s="26">
        <v>7</v>
      </c>
      <c r="C397" s="26">
        <v>2.2000000000000002</v>
      </c>
      <c r="D397" s="26">
        <v>1.5</v>
      </c>
      <c r="E397" s="26">
        <v>85</v>
      </c>
      <c r="F397" s="26">
        <f t="shared" si="11"/>
        <v>1.7647058823529412E-2</v>
      </c>
      <c r="G397" s="30"/>
      <c r="H397" s="30"/>
      <c r="I397" s="30"/>
      <c r="J397" s="30"/>
    </row>
    <row r="398" spans="1:10" x14ac:dyDescent="0.25">
      <c r="A398" s="26">
        <v>5</v>
      </c>
      <c r="B398" s="26">
        <v>7</v>
      </c>
      <c r="C398" s="26">
        <v>2.2000000000000002</v>
      </c>
      <c r="D398" s="26">
        <v>2</v>
      </c>
      <c r="E398" s="26">
        <v>113</v>
      </c>
      <c r="F398" s="26">
        <f t="shared" si="11"/>
        <v>1.7699115044247787E-2</v>
      </c>
      <c r="G398" s="30"/>
      <c r="H398" s="30"/>
      <c r="I398" s="30"/>
      <c r="J398" s="30"/>
    </row>
    <row r="399" spans="1:10" x14ac:dyDescent="0.25">
      <c r="A399" s="26">
        <v>5</v>
      </c>
      <c r="B399" s="26">
        <v>7</v>
      </c>
      <c r="C399" s="26">
        <v>2.2000000000000002</v>
      </c>
      <c r="D399" s="26">
        <v>2.5</v>
      </c>
      <c r="E399" s="26">
        <v>141</v>
      </c>
      <c r="F399" s="26">
        <f t="shared" si="11"/>
        <v>1.7730496453900711E-2</v>
      </c>
      <c r="G399" s="30"/>
      <c r="H399" s="30"/>
      <c r="I399" s="30"/>
      <c r="J399" s="30"/>
    </row>
    <row r="400" spans="1:10" x14ac:dyDescent="0.25">
      <c r="A400" s="26">
        <v>5</v>
      </c>
      <c r="B400" s="26">
        <v>7</v>
      </c>
      <c r="C400" s="26">
        <v>2.2000000000000002</v>
      </c>
      <c r="D400" s="26">
        <v>3</v>
      </c>
      <c r="E400" s="26">
        <v>169</v>
      </c>
      <c r="F400" s="26">
        <f t="shared" si="11"/>
        <v>1.7751479289940829E-2</v>
      </c>
      <c r="G400" s="30"/>
      <c r="H400" s="30"/>
      <c r="I400" s="30"/>
      <c r="J400" s="30"/>
    </row>
    <row r="401" spans="1:10" x14ac:dyDescent="0.25">
      <c r="A401" s="26">
        <v>5</v>
      </c>
      <c r="B401" s="26">
        <v>7</v>
      </c>
      <c r="C401" s="26">
        <v>2.4</v>
      </c>
      <c r="D401" s="26">
        <v>0.5</v>
      </c>
      <c r="E401" s="26">
        <v>29</v>
      </c>
      <c r="F401" s="26">
        <f t="shared" si="11"/>
        <v>1.7241379310344827E-2</v>
      </c>
      <c r="G401" s="30"/>
      <c r="H401" s="30"/>
      <c r="I401" s="30"/>
      <c r="J401" s="30"/>
    </row>
    <row r="402" spans="1:10" x14ac:dyDescent="0.25">
      <c r="A402" s="26">
        <v>5</v>
      </c>
      <c r="B402" s="26">
        <v>7</v>
      </c>
      <c r="C402" s="26">
        <v>2.4</v>
      </c>
      <c r="D402" s="26">
        <v>1</v>
      </c>
      <c r="E402" s="26">
        <v>57</v>
      </c>
      <c r="F402" s="26">
        <f t="shared" si="11"/>
        <v>1.7543859649122806E-2</v>
      </c>
      <c r="G402" s="30"/>
      <c r="H402" s="30"/>
      <c r="I402" s="30"/>
      <c r="J402" s="30"/>
    </row>
    <row r="403" spans="1:10" x14ac:dyDescent="0.25">
      <c r="A403" s="26">
        <v>5</v>
      </c>
      <c r="B403" s="26">
        <v>7</v>
      </c>
      <c r="C403" s="26">
        <v>2.4</v>
      </c>
      <c r="D403" s="26">
        <v>1.5</v>
      </c>
      <c r="E403" s="26">
        <v>86</v>
      </c>
      <c r="F403" s="26">
        <f t="shared" si="11"/>
        <v>1.7441860465116279E-2</v>
      </c>
      <c r="G403" s="30"/>
      <c r="H403" s="30"/>
      <c r="I403" s="30"/>
      <c r="J403" s="30"/>
    </row>
    <row r="404" spans="1:10" x14ac:dyDescent="0.25">
      <c r="A404" s="26">
        <v>5</v>
      </c>
      <c r="B404" s="26">
        <v>7</v>
      </c>
      <c r="C404" s="26">
        <v>2.4</v>
      </c>
      <c r="D404" s="26">
        <v>2</v>
      </c>
      <c r="E404" s="26">
        <v>115</v>
      </c>
      <c r="F404" s="26">
        <f t="shared" si="11"/>
        <v>1.7391304347826087E-2</v>
      </c>
      <c r="G404" s="30"/>
      <c r="H404" s="30"/>
      <c r="I404" s="30"/>
      <c r="J404" s="30"/>
    </row>
    <row r="405" spans="1:10" x14ac:dyDescent="0.25">
      <c r="A405" s="26">
        <v>5</v>
      </c>
      <c r="B405" s="26">
        <v>7</v>
      </c>
      <c r="C405" s="26">
        <v>2.4</v>
      </c>
      <c r="D405" s="26">
        <v>2.5</v>
      </c>
      <c r="E405" s="26">
        <v>143</v>
      </c>
      <c r="F405" s="26">
        <f t="shared" si="11"/>
        <v>1.7482517482517484E-2</v>
      </c>
      <c r="G405" s="30"/>
      <c r="H405" s="30"/>
      <c r="I405" s="30"/>
      <c r="J405" s="30"/>
    </row>
    <row r="406" spans="1:10" x14ac:dyDescent="0.25">
      <c r="A406" s="26">
        <v>5</v>
      </c>
      <c r="B406" s="26">
        <v>7</v>
      </c>
      <c r="C406" s="26">
        <v>2.4</v>
      </c>
      <c r="D406" s="26">
        <v>3</v>
      </c>
      <c r="E406" s="26">
        <v>172</v>
      </c>
      <c r="F406" s="26">
        <f t="shared" si="11"/>
        <v>1.7441860465116279E-2</v>
      </c>
      <c r="G406" s="30"/>
      <c r="H406" s="30"/>
      <c r="I406" s="30"/>
      <c r="J406" s="30"/>
    </row>
    <row r="407" spans="1:10" x14ac:dyDescent="0.25">
      <c r="A407" s="26">
        <v>5</v>
      </c>
      <c r="B407" s="26">
        <v>7</v>
      </c>
      <c r="C407" s="26">
        <v>2.6</v>
      </c>
      <c r="D407" s="26">
        <v>0.5</v>
      </c>
      <c r="E407" s="26">
        <v>29</v>
      </c>
      <c r="F407" s="26">
        <f t="shared" si="11"/>
        <v>1.7241379310344827E-2</v>
      </c>
      <c r="G407" s="30"/>
      <c r="H407" s="30"/>
      <c r="I407" s="30"/>
      <c r="J407" s="30"/>
    </row>
    <row r="408" spans="1:10" x14ac:dyDescent="0.25">
      <c r="A408" s="26">
        <v>5</v>
      </c>
      <c r="B408" s="26">
        <v>7</v>
      </c>
      <c r="C408" s="26">
        <v>2.6</v>
      </c>
      <c r="D408" s="26">
        <v>1</v>
      </c>
      <c r="E408" s="26">
        <v>58</v>
      </c>
      <c r="F408" s="26">
        <f t="shared" si="11"/>
        <v>1.7241379310344827E-2</v>
      </c>
      <c r="G408" s="30"/>
      <c r="H408" s="30"/>
      <c r="I408" s="30"/>
      <c r="J408" s="30"/>
    </row>
    <row r="409" spans="1:10" x14ac:dyDescent="0.25">
      <c r="A409" s="26">
        <v>5</v>
      </c>
      <c r="B409" s="26">
        <v>7</v>
      </c>
      <c r="C409" s="26">
        <v>2.6</v>
      </c>
      <c r="D409" s="26">
        <v>1.5</v>
      </c>
      <c r="E409" s="26">
        <v>88</v>
      </c>
      <c r="F409" s="26">
        <f t="shared" si="11"/>
        <v>1.7045454545454544E-2</v>
      </c>
      <c r="G409" s="30"/>
      <c r="H409" s="30"/>
      <c r="I409" s="30"/>
      <c r="J409" s="30"/>
    </row>
    <row r="410" spans="1:10" x14ac:dyDescent="0.25">
      <c r="A410" s="26">
        <v>5</v>
      </c>
      <c r="B410" s="26">
        <v>7</v>
      </c>
      <c r="C410" s="26">
        <v>2.6</v>
      </c>
      <c r="D410" s="26">
        <v>2</v>
      </c>
      <c r="E410" s="26">
        <v>117</v>
      </c>
      <c r="F410" s="26">
        <f t="shared" si="11"/>
        <v>1.7094017094017096E-2</v>
      </c>
      <c r="G410" s="30"/>
      <c r="H410" s="30"/>
      <c r="I410" s="30"/>
      <c r="J410" s="30"/>
    </row>
    <row r="411" spans="1:10" x14ac:dyDescent="0.25">
      <c r="A411" s="26">
        <v>5</v>
      </c>
      <c r="B411" s="26">
        <v>7</v>
      </c>
      <c r="C411" s="26">
        <v>2.6</v>
      </c>
      <c r="D411" s="26">
        <v>2.5</v>
      </c>
      <c r="E411" s="26">
        <v>146</v>
      </c>
      <c r="F411" s="26">
        <f t="shared" si="11"/>
        <v>1.7123287671232876E-2</v>
      </c>
      <c r="G411" s="30"/>
      <c r="H411" s="30"/>
      <c r="I411" s="30"/>
      <c r="J411" s="30"/>
    </row>
    <row r="412" spans="1:10" x14ac:dyDescent="0.25">
      <c r="A412" s="26">
        <v>5</v>
      </c>
      <c r="B412" s="26">
        <v>7</v>
      </c>
      <c r="C412" s="26">
        <v>2.6</v>
      </c>
      <c r="D412" s="26">
        <v>3</v>
      </c>
      <c r="E412" s="26">
        <v>175</v>
      </c>
      <c r="F412" s="26">
        <f t="shared" si="11"/>
        <v>1.7142857142857144E-2</v>
      </c>
      <c r="G412" s="30"/>
      <c r="H412" s="30"/>
      <c r="I412" s="30"/>
      <c r="J412" s="30"/>
    </row>
    <row r="413" spans="1:10" x14ac:dyDescent="0.25">
      <c r="A413" s="26">
        <v>5</v>
      </c>
      <c r="B413" s="26">
        <v>7</v>
      </c>
      <c r="C413" s="26">
        <v>2.8</v>
      </c>
      <c r="D413" s="26">
        <v>0.5</v>
      </c>
      <c r="E413" s="26">
        <v>30</v>
      </c>
      <c r="F413" s="26">
        <f t="shared" si="11"/>
        <v>1.6666666666666666E-2</v>
      </c>
      <c r="G413" s="30"/>
      <c r="H413" s="30"/>
      <c r="I413" s="30"/>
      <c r="J413" s="30"/>
    </row>
    <row r="414" spans="1:10" x14ac:dyDescent="0.25">
      <c r="A414" s="26">
        <v>5</v>
      </c>
      <c r="B414" s="26">
        <v>7</v>
      </c>
      <c r="C414" s="26">
        <v>2.8</v>
      </c>
      <c r="D414" s="26">
        <v>1</v>
      </c>
      <c r="E414" s="26">
        <v>59</v>
      </c>
      <c r="F414" s="26">
        <f t="shared" si="11"/>
        <v>1.6949152542372881E-2</v>
      </c>
      <c r="G414" s="30"/>
      <c r="H414" s="30"/>
      <c r="I414" s="30"/>
      <c r="J414" s="30"/>
    </row>
    <row r="415" spans="1:10" x14ac:dyDescent="0.25">
      <c r="A415" s="26">
        <v>5</v>
      </c>
      <c r="B415" s="26">
        <v>7</v>
      </c>
      <c r="C415" s="26">
        <v>2.8</v>
      </c>
      <c r="D415" s="26">
        <v>1.5</v>
      </c>
      <c r="E415" s="26">
        <v>89</v>
      </c>
      <c r="F415" s="26">
        <f t="shared" si="11"/>
        <v>1.6853932584269662E-2</v>
      </c>
      <c r="G415" s="30"/>
      <c r="H415" s="30"/>
      <c r="I415" s="30"/>
      <c r="J415" s="30"/>
    </row>
    <row r="416" spans="1:10" x14ac:dyDescent="0.25">
      <c r="A416" s="26">
        <v>5</v>
      </c>
      <c r="B416" s="26">
        <v>7</v>
      </c>
      <c r="C416" s="26">
        <v>2.8</v>
      </c>
      <c r="D416" s="26">
        <v>2</v>
      </c>
      <c r="E416" s="26">
        <v>119</v>
      </c>
      <c r="F416" s="26">
        <f t="shared" si="11"/>
        <v>1.680672268907563E-2</v>
      </c>
      <c r="G416" s="30"/>
      <c r="H416" s="30"/>
      <c r="I416" s="30"/>
      <c r="J416" s="30"/>
    </row>
    <row r="417" spans="1:10" x14ac:dyDescent="0.25">
      <c r="A417" s="26">
        <v>5</v>
      </c>
      <c r="B417" s="26">
        <v>7</v>
      </c>
      <c r="C417" s="26">
        <v>2.8</v>
      </c>
      <c r="D417" s="26">
        <v>2.5</v>
      </c>
      <c r="E417" s="26">
        <v>148</v>
      </c>
      <c r="F417" s="26">
        <f t="shared" si="11"/>
        <v>1.6891891891891893E-2</v>
      </c>
      <c r="G417" s="30"/>
      <c r="H417" s="30"/>
      <c r="I417" s="30"/>
      <c r="J417" s="30"/>
    </row>
    <row r="418" spans="1:10" x14ac:dyDescent="0.25">
      <c r="A418" s="26">
        <v>5</v>
      </c>
      <c r="B418" s="26">
        <v>7</v>
      </c>
      <c r="C418" s="26">
        <v>2.8</v>
      </c>
      <c r="D418" s="26">
        <v>3</v>
      </c>
      <c r="E418" s="26">
        <v>178</v>
      </c>
      <c r="F418" s="26">
        <f t="shared" si="11"/>
        <v>1.6853932584269662E-2</v>
      </c>
      <c r="G418" s="30"/>
      <c r="H418" s="30"/>
      <c r="I418" s="30"/>
      <c r="J418" s="30"/>
    </row>
    <row r="419" spans="1:10" x14ac:dyDescent="0.25">
      <c r="A419" s="26">
        <v>5</v>
      </c>
      <c r="B419" s="26">
        <v>7</v>
      </c>
      <c r="C419" s="26">
        <v>3</v>
      </c>
      <c r="D419" s="26">
        <v>0.5</v>
      </c>
      <c r="E419" s="26">
        <v>30</v>
      </c>
      <c r="F419" s="26">
        <f t="shared" si="11"/>
        <v>1.6666666666666666E-2</v>
      </c>
      <c r="G419" s="30"/>
      <c r="H419" s="30"/>
      <c r="I419" s="30"/>
      <c r="J419" s="30"/>
    </row>
    <row r="420" spans="1:10" x14ac:dyDescent="0.25">
      <c r="A420" s="26">
        <v>5</v>
      </c>
      <c r="B420" s="26">
        <v>7</v>
      </c>
      <c r="C420" s="26">
        <v>3</v>
      </c>
      <c r="D420" s="26">
        <v>1</v>
      </c>
      <c r="E420" s="26">
        <v>61</v>
      </c>
      <c r="F420" s="26">
        <f t="shared" si="11"/>
        <v>1.6393442622950821E-2</v>
      </c>
      <c r="G420" s="30"/>
      <c r="H420" s="30"/>
      <c r="I420" s="30"/>
      <c r="J420" s="30"/>
    </row>
    <row r="421" spans="1:10" x14ac:dyDescent="0.25">
      <c r="A421" s="26">
        <v>5</v>
      </c>
      <c r="B421" s="26">
        <v>7</v>
      </c>
      <c r="C421" s="26">
        <v>3</v>
      </c>
      <c r="D421" s="26">
        <v>1.5</v>
      </c>
      <c r="E421" s="26">
        <v>91</v>
      </c>
      <c r="F421" s="26">
        <f t="shared" si="11"/>
        <v>1.6483516483516484E-2</v>
      </c>
      <c r="G421" s="30"/>
      <c r="H421" s="30"/>
      <c r="I421" s="30"/>
      <c r="J421" s="30"/>
    </row>
    <row r="422" spans="1:10" x14ac:dyDescent="0.25">
      <c r="A422" s="26">
        <v>5</v>
      </c>
      <c r="B422" s="26">
        <v>7</v>
      </c>
      <c r="C422" s="26">
        <v>3</v>
      </c>
      <c r="D422" s="26">
        <v>2</v>
      </c>
      <c r="E422" s="26">
        <v>121</v>
      </c>
      <c r="F422" s="26">
        <f t="shared" si="11"/>
        <v>1.6528925619834711E-2</v>
      </c>
      <c r="G422" s="30"/>
      <c r="H422" s="30"/>
      <c r="I422" s="30"/>
      <c r="J422" s="30"/>
    </row>
    <row r="423" spans="1:10" x14ac:dyDescent="0.25">
      <c r="A423" s="26">
        <v>5</v>
      </c>
      <c r="B423" s="26">
        <v>7</v>
      </c>
      <c r="C423" s="26">
        <v>3</v>
      </c>
      <c r="D423" s="26">
        <v>2.5</v>
      </c>
      <c r="E423" s="26">
        <v>152</v>
      </c>
      <c r="F423" s="26">
        <f t="shared" si="11"/>
        <v>1.6447368421052631E-2</v>
      </c>
      <c r="G423" s="30"/>
      <c r="H423" s="30"/>
      <c r="I423" s="30"/>
      <c r="J423" s="30"/>
    </row>
    <row r="424" spans="1:10" x14ac:dyDescent="0.25">
      <c r="A424" s="26">
        <v>5</v>
      </c>
      <c r="B424" s="26">
        <v>7</v>
      </c>
      <c r="C424" s="26">
        <v>3</v>
      </c>
      <c r="D424" s="26">
        <v>3</v>
      </c>
      <c r="E424" s="26">
        <v>182</v>
      </c>
      <c r="F424" s="26">
        <f t="shared" si="11"/>
        <v>1.6483516483516484E-2</v>
      </c>
      <c r="G424" s="30"/>
      <c r="H424" s="30"/>
      <c r="I424" s="30"/>
      <c r="J424" s="30"/>
    </row>
    <row r="425" spans="1:10" x14ac:dyDescent="0.25">
      <c r="A425" s="26">
        <v>5</v>
      </c>
      <c r="B425" s="26">
        <v>7.5</v>
      </c>
      <c r="C425" s="26">
        <v>0.4</v>
      </c>
      <c r="D425" s="26">
        <v>0.5</v>
      </c>
      <c r="E425" s="26">
        <v>28</v>
      </c>
      <c r="F425" s="26">
        <f t="shared" si="11"/>
        <v>1.7857142857142856E-2</v>
      </c>
      <c r="G425" s="30"/>
      <c r="H425" s="30"/>
      <c r="I425" s="30"/>
      <c r="J425" s="30"/>
    </row>
    <row r="426" spans="1:10" x14ac:dyDescent="0.25">
      <c r="A426" s="26">
        <v>5</v>
      </c>
      <c r="B426" s="26">
        <v>7.5</v>
      </c>
      <c r="C426" s="26">
        <v>0.4</v>
      </c>
      <c r="D426" s="26">
        <v>1</v>
      </c>
      <c r="E426" s="26">
        <v>55</v>
      </c>
      <c r="F426" s="26">
        <f t="shared" si="11"/>
        <v>1.8181818181818181E-2</v>
      </c>
      <c r="G426" s="30"/>
      <c r="H426" s="30"/>
      <c r="I426" s="30"/>
      <c r="J426" s="30"/>
    </row>
    <row r="427" spans="1:10" x14ac:dyDescent="0.25">
      <c r="A427" s="26">
        <v>5</v>
      </c>
      <c r="B427" s="26">
        <v>7.5</v>
      </c>
      <c r="C427" s="26">
        <v>0.4</v>
      </c>
      <c r="D427" s="26">
        <v>1.5</v>
      </c>
      <c r="E427" s="26">
        <v>83</v>
      </c>
      <c r="F427" s="26">
        <f t="shared" si="11"/>
        <v>1.8072289156626505E-2</v>
      </c>
      <c r="G427" s="30"/>
      <c r="H427" s="30"/>
      <c r="I427" s="30"/>
      <c r="J427" s="30"/>
    </row>
    <row r="428" spans="1:10" x14ac:dyDescent="0.25">
      <c r="A428" s="26">
        <v>5</v>
      </c>
      <c r="B428" s="26">
        <v>7.5</v>
      </c>
      <c r="C428" s="26">
        <v>0.4</v>
      </c>
      <c r="D428" s="26">
        <v>2</v>
      </c>
      <c r="E428" s="26">
        <v>111</v>
      </c>
      <c r="F428" s="26">
        <f t="shared" si="11"/>
        <v>1.8018018018018018E-2</v>
      </c>
      <c r="G428" s="30"/>
      <c r="H428" s="30"/>
      <c r="I428" s="30"/>
      <c r="J428" s="30"/>
    </row>
    <row r="429" spans="1:10" x14ac:dyDescent="0.25">
      <c r="A429" s="26">
        <v>5</v>
      </c>
      <c r="B429" s="26">
        <v>7.5</v>
      </c>
      <c r="C429" s="26">
        <v>0.4</v>
      </c>
      <c r="D429" s="26">
        <v>2.5</v>
      </c>
      <c r="E429" s="26">
        <v>138</v>
      </c>
      <c r="F429" s="26">
        <f t="shared" si="11"/>
        <v>1.8115942028985508E-2</v>
      </c>
      <c r="G429" s="30"/>
      <c r="H429" s="30"/>
      <c r="I429" s="30"/>
      <c r="J429" s="30"/>
    </row>
    <row r="430" spans="1:10" x14ac:dyDescent="0.25">
      <c r="A430" s="26">
        <v>5</v>
      </c>
      <c r="B430" s="26">
        <v>7.5</v>
      </c>
      <c r="C430" s="26">
        <v>0.4</v>
      </c>
      <c r="D430" s="26">
        <v>3</v>
      </c>
      <c r="E430" s="26">
        <v>166</v>
      </c>
      <c r="F430" s="26">
        <f t="shared" si="11"/>
        <v>1.8072289156626505E-2</v>
      </c>
      <c r="G430" s="30"/>
      <c r="H430" s="30"/>
      <c r="I430" s="30"/>
      <c r="J430" s="30"/>
    </row>
    <row r="431" spans="1:10" x14ac:dyDescent="0.25">
      <c r="A431" s="26">
        <v>5</v>
      </c>
      <c r="B431" s="26">
        <v>7.5</v>
      </c>
      <c r="C431" s="26">
        <v>0.6</v>
      </c>
      <c r="D431" s="26">
        <v>0.5</v>
      </c>
      <c r="E431" s="26">
        <v>29</v>
      </c>
      <c r="F431" s="26">
        <f t="shared" si="11"/>
        <v>1.7241379310344827E-2</v>
      </c>
      <c r="G431" s="30"/>
      <c r="H431" s="30"/>
      <c r="I431" s="30"/>
      <c r="J431" s="30"/>
    </row>
    <row r="432" spans="1:10" x14ac:dyDescent="0.25">
      <c r="A432" s="26">
        <v>5</v>
      </c>
      <c r="B432" s="26">
        <v>7.5</v>
      </c>
      <c r="C432" s="26">
        <v>0.6</v>
      </c>
      <c r="D432" s="26">
        <v>1</v>
      </c>
      <c r="E432" s="26">
        <v>57</v>
      </c>
      <c r="F432" s="26">
        <f t="shared" si="11"/>
        <v>1.7543859649122806E-2</v>
      </c>
      <c r="G432" s="30"/>
      <c r="H432" s="30"/>
      <c r="I432" s="30"/>
      <c r="J432" s="30"/>
    </row>
    <row r="433" spans="1:10" x14ac:dyDescent="0.25">
      <c r="A433" s="26">
        <v>5</v>
      </c>
      <c r="B433" s="26">
        <v>7.5</v>
      </c>
      <c r="C433" s="26">
        <v>0.6</v>
      </c>
      <c r="D433" s="26">
        <v>1.5</v>
      </c>
      <c r="E433" s="26">
        <v>86</v>
      </c>
      <c r="F433" s="26">
        <f t="shared" si="11"/>
        <v>1.7441860465116279E-2</v>
      </c>
      <c r="G433" s="30"/>
      <c r="H433" s="30"/>
      <c r="I433" s="30"/>
      <c r="J433" s="30"/>
    </row>
    <row r="434" spans="1:10" x14ac:dyDescent="0.25">
      <c r="A434" s="26">
        <v>5</v>
      </c>
      <c r="B434" s="26">
        <v>7.5</v>
      </c>
      <c r="C434" s="26">
        <v>0.6</v>
      </c>
      <c r="D434" s="26">
        <v>2</v>
      </c>
      <c r="E434" s="26">
        <v>114</v>
      </c>
      <c r="F434" s="26">
        <f t="shared" si="11"/>
        <v>1.7543859649122806E-2</v>
      </c>
      <c r="G434" s="30"/>
      <c r="H434" s="30"/>
      <c r="I434" s="30"/>
      <c r="J434" s="30"/>
    </row>
    <row r="435" spans="1:10" x14ac:dyDescent="0.25">
      <c r="A435" s="26">
        <v>5</v>
      </c>
      <c r="B435" s="26">
        <v>7.5</v>
      </c>
      <c r="C435" s="26">
        <v>0.6</v>
      </c>
      <c r="D435" s="26">
        <v>2.5</v>
      </c>
      <c r="E435" s="26">
        <v>143</v>
      </c>
      <c r="F435" s="26">
        <f t="shared" si="11"/>
        <v>1.7482517482517484E-2</v>
      </c>
      <c r="G435" s="30"/>
      <c r="H435" s="30"/>
      <c r="I435" s="30"/>
      <c r="J435" s="30"/>
    </row>
    <row r="436" spans="1:10" x14ac:dyDescent="0.25">
      <c r="A436" s="26">
        <v>5</v>
      </c>
      <c r="B436" s="26">
        <v>7.5</v>
      </c>
      <c r="C436" s="26">
        <v>0.6</v>
      </c>
      <c r="D436" s="26">
        <v>3</v>
      </c>
      <c r="E436" s="26">
        <v>171</v>
      </c>
      <c r="F436" s="26">
        <f t="shared" si="11"/>
        <v>1.7543859649122806E-2</v>
      </c>
      <c r="G436" s="30"/>
      <c r="H436" s="30"/>
      <c r="I436" s="30"/>
      <c r="J436" s="30"/>
    </row>
    <row r="437" spans="1:10" x14ac:dyDescent="0.25">
      <c r="A437" s="26">
        <v>5</v>
      </c>
      <c r="B437" s="26">
        <v>7.5</v>
      </c>
      <c r="C437" s="26">
        <v>0.8</v>
      </c>
      <c r="D437" s="26">
        <v>0.5</v>
      </c>
      <c r="E437" s="26">
        <v>29</v>
      </c>
      <c r="F437" s="26">
        <f t="shared" si="11"/>
        <v>1.7241379310344827E-2</v>
      </c>
      <c r="G437" s="30"/>
      <c r="H437" s="30"/>
      <c r="I437" s="30"/>
      <c r="J437" s="30"/>
    </row>
    <row r="438" spans="1:10" x14ac:dyDescent="0.25">
      <c r="A438" s="26">
        <v>5</v>
      </c>
      <c r="B438" s="26">
        <v>7.5</v>
      </c>
      <c r="C438" s="26">
        <v>0.8</v>
      </c>
      <c r="D438" s="26">
        <v>1</v>
      </c>
      <c r="E438" s="26">
        <v>58</v>
      </c>
      <c r="F438" s="26">
        <f t="shared" si="11"/>
        <v>1.7241379310344827E-2</v>
      </c>
      <c r="G438" s="30"/>
      <c r="H438" s="30"/>
      <c r="I438" s="30"/>
      <c r="J438" s="30"/>
    </row>
    <row r="439" spans="1:10" x14ac:dyDescent="0.25">
      <c r="A439" s="26">
        <v>5</v>
      </c>
      <c r="B439" s="26">
        <v>7.5</v>
      </c>
      <c r="C439" s="26">
        <v>0.8</v>
      </c>
      <c r="D439" s="26">
        <v>1.5</v>
      </c>
      <c r="E439" s="26">
        <v>88</v>
      </c>
      <c r="F439" s="26">
        <f t="shared" si="11"/>
        <v>1.7045454545454544E-2</v>
      </c>
      <c r="G439" s="30"/>
      <c r="H439" s="30"/>
      <c r="I439" s="30"/>
      <c r="J439" s="30"/>
    </row>
    <row r="440" spans="1:10" x14ac:dyDescent="0.25">
      <c r="A440" s="26">
        <v>5</v>
      </c>
      <c r="B440" s="26">
        <v>7.5</v>
      </c>
      <c r="C440" s="26">
        <v>0.8</v>
      </c>
      <c r="D440" s="26">
        <v>2</v>
      </c>
      <c r="E440" s="26">
        <v>117</v>
      </c>
      <c r="F440" s="26">
        <f t="shared" si="11"/>
        <v>1.7094017094017096E-2</v>
      </c>
      <c r="G440" s="30"/>
      <c r="H440" s="30"/>
      <c r="I440" s="30"/>
      <c r="J440" s="30"/>
    </row>
    <row r="441" spans="1:10" x14ac:dyDescent="0.25">
      <c r="A441" s="26">
        <v>5</v>
      </c>
      <c r="B441" s="26">
        <v>7.5</v>
      </c>
      <c r="C441" s="26">
        <v>0.8</v>
      </c>
      <c r="D441" s="26">
        <v>2.5</v>
      </c>
      <c r="E441" s="26">
        <v>146</v>
      </c>
      <c r="F441" s="26">
        <f t="shared" si="11"/>
        <v>1.7123287671232876E-2</v>
      </c>
      <c r="G441" s="30"/>
      <c r="H441" s="30"/>
      <c r="I441" s="30"/>
      <c r="J441" s="30"/>
    </row>
    <row r="442" spans="1:10" x14ac:dyDescent="0.25">
      <c r="A442" s="26">
        <v>5</v>
      </c>
      <c r="B442" s="26">
        <v>7.5</v>
      </c>
      <c r="C442" s="26">
        <v>0.8</v>
      </c>
      <c r="D442" s="26">
        <v>3</v>
      </c>
      <c r="E442" s="26">
        <v>175</v>
      </c>
      <c r="F442" s="26">
        <f t="shared" si="11"/>
        <v>1.7142857142857144E-2</v>
      </c>
      <c r="G442" s="30"/>
      <c r="H442" s="30"/>
      <c r="I442" s="30"/>
      <c r="J442" s="30"/>
    </row>
    <row r="443" spans="1:10" x14ac:dyDescent="0.25">
      <c r="A443" s="26">
        <v>5</v>
      </c>
      <c r="B443" s="26">
        <v>7.5</v>
      </c>
      <c r="C443" s="26">
        <v>1</v>
      </c>
      <c r="D443" s="26">
        <v>0.5</v>
      </c>
      <c r="E443" s="26">
        <v>30</v>
      </c>
      <c r="F443" s="26">
        <f t="shared" si="11"/>
        <v>1.6666666666666666E-2</v>
      </c>
      <c r="G443" s="30"/>
      <c r="H443" s="30"/>
      <c r="I443" s="30"/>
      <c r="J443" s="30"/>
    </row>
    <row r="444" spans="1:10" x14ac:dyDescent="0.25">
      <c r="A444" s="26">
        <v>5</v>
      </c>
      <c r="B444" s="26">
        <v>7.5</v>
      </c>
      <c r="C444" s="26">
        <v>1</v>
      </c>
      <c r="D444" s="26">
        <v>1</v>
      </c>
      <c r="E444" s="26">
        <v>60</v>
      </c>
      <c r="F444" s="26">
        <f t="shared" si="11"/>
        <v>1.6666666666666666E-2</v>
      </c>
      <c r="G444" s="30"/>
      <c r="H444" s="30"/>
      <c r="I444" s="30"/>
      <c r="J444" s="30"/>
    </row>
    <row r="445" spans="1:10" x14ac:dyDescent="0.25">
      <c r="A445" s="26">
        <v>5</v>
      </c>
      <c r="B445" s="26">
        <v>7.5</v>
      </c>
      <c r="C445" s="26">
        <v>1</v>
      </c>
      <c r="D445" s="26">
        <v>1.5</v>
      </c>
      <c r="E445" s="26">
        <v>90</v>
      </c>
      <c r="F445" s="26">
        <f t="shared" si="11"/>
        <v>1.6666666666666666E-2</v>
      </c>
      <c r="G445" s="30"/>
      <c r="H445" s="30"/>
      <c r="I445" s="30"/>
      <c r="J445" s="30"/>
    </row>
    <row r="446" spans="1:10" x14ac:dyDescent="0.25">
      <c r="A446" s="26">
        <v>5</v>
      </c>
      <c r="B446" s="26">
        <v>7.5</v>
      </c>
      <c r="C446" s="26">
        <v>1</v>
      </c>
      <c r="D446" s="26">
        <v>2</v>
      </c>
      <c r="E446" s="26">
        <v>119</v>
      </c>
      <c r="F446" s="26">
        <f t="shared" si="11"/>
        <v>1.680672268907563E-2</v>
      </c>
      <c r="G446" s="30"/>
      <c r="H446" s="30"/>
      <c r="I446" s="30"/>
      <c r="J446" s="30"/>
    </row>
    <row r="447" spans="1:10" x14ac:dyDescent="0.25">
      <c r="A447" s="26">
        <v>5</v>
      </c>
      <c r="B447" s="26">
        <v>7.5</v>
      </c>
      <c r="C447" s="26">
        <v>1</v>
      </c>
      <c r="D447" s="26">
        <v>2.5</v>
      </c>
      <c r="E447" s="26">
        <v>149</v>
      </c>
      <c r="F447" s="26">
        <f t="shared" si="11"/>
        <v>1.6778523489932886E-2</v>
      </c>
      <c r="G447" s="30"/>
      <c r="H447" s="30"/>
      <c r="I447" s="30"/>
      <c r="J447" s="30"/>
    </row>
    <row r="448" spans="1:10" x14ac:dyDescent="0.25">
      <c r="A448" s="26">
        <v>5</v>
      </c>
      <c r="B448" s="26">
        <v>7.5</v>
      </c>
      <c r="C448" s="26">
        <v>1</v>
      </c>
      <c r="D448" s="26">
        <v>3</v>
      </c>
      <c r="E448" s="26">
        <v>179</v>
      </c>
      <c r="F448" s="26">
        <f t="shared" si="11"/>
        <v>1.6759776536312849E-2</v>
      </c>
      <c r="G448" s="30"/>
      <c r="H448" s="30"/>
      <c r="I448" s="30"/>
      <c r="J448" s="30"/>
    </row>
    <row r="449" spans="1:10" x14ac:dyDescent="0.25">
      <c r="A449" s="26">
        <v>5</v>
      </c>
      <c r="B449" s="26">
        <v>7.5</v>
      </c>
      <c r="C449" s="26">
        <v>1.2</v>
      </c>
      <c r="D449" s="26">
        <v>0.5</v>
      </c>
      <c r="E449" s="26">
        <v>31</v>
      </c>
      <c r="F449" s="26">
        <f t="shared" si="11"/>
        <v>1.6129032258064516E-2</v>
      </c>
      <c r="G449" s="30"/>
      <c r="H449" s="30"/>
      <c r="I449" s="30"/>
      <c r="J449" s="30"/>
    </row>
    <row r="450" spans="1:10" x14ac:dyDescent="0.25">
      <c r="A450" s="26">
        <v>5</v>
      </c>
      <c r="B450" s="26">
        <v>7.5</v>
      </c>
      <c r="C450" s="26">
        <v>1.2</v>
      </c>
      <c r="D450" s="26">
        <v>1</v>
      </c>
      <c r="E450" s="26">
        <v>61</v>
      </c>
      <c r="F450" s="26">
        <f t="shared" si="11"/>
        <v>1.6393442622950821E-2</v>
      </c>
      <c r="G450" s="30"/>
      <c r="H450" s="30"/>
      <c r="I450" s="30"/>
      <c r="J450" s="30"/>
    </row>
    <row r="451" spans="1:10" x14ac:dyDescent="0.25">
      <c r="A451" s="26">
        <v>5</v>
      </c>
      <c r="B451" s="26">
        <v>7.5</v>
      </c>
      <c r="C451" s="26">
        <v>1.2</v>
      </c>
      <c r="D451" s="26">
        <v>1.5</v>
      </c>
      <c r="E451" s="26">
        <v>92</v>
      </c>
      <c r="F451" s="26">
        <f t="shared" si="11"/>
        <v>1.6304347826086956E-2</v>
      </c>
      <c r="G451" s="30"/>
      <c r="H451" s="30"/>
      <c r="I451" s="30"/>
      <c r="J451" s="30"/>
    </row>
    <row r="452" spans="1:10" x14ac:dyDescent="0.25">
      <c r="A452" s="26">
        <v>5</v>
      </c>
      <c r="B452" s="26">
        <v>7.5</v>
      </c>
      <c r="C452" s="26">
        <v>1.2</v>
      </c>
      <c r="D452" s="26">
        <v>2</v>
      </c>
      <c r="E452" s="26">
        <v>122</v>
      </c>
      <c r="F452" s="26">
        <f t="shared" si="11"/>
        <v>1.6393442622950821E-2</v>
      </c>
      <c r="G452" s="30"/>
      <c r="H452" s="30"/>
      <c r="I452" s="30"/>
      <c r="J452" s="30"/>
    </row>
    <row r="453" spans="1:10" x14ac:dyDescent="0.25">
      <c r="A453" s="26">
        <v>5</v>
      </c>
      <c r="B453" s="26">
        <v>7.5</v>
      </c>
      <c r="C453" s="26">
        <v>1.2</v>
      </c>
      <c r="D453" s="26">
        <v>2.5</v>
      </c>
      <c r="E453" s="26">
        <v>153</v>
      </c>
      <c r="F453" s="26">
        <f t="shared" ref="F453:F516" si="12">D453/E453</f>
        <v>1.6339869281045753E-2</v>
      </c>
      <c r="G453" s="30"/>
      <c r="H453" s="30"/>
      <c r="I453" s="30"/>
      <c r="J453" s="30"/>
    </row>
    <row r="454" spans="1:10" x14ac:dyDescent="0.25">
      <c r="A454" s="26">
        <v>5</v>
      </c>
      <c r="B454" s="26">
        <v>7.5</v>
      </c>
      <c r="C454" s="26">
        <v>1.2</v>
      </c>
      <c r="D454" s="26">
        <v>3</v>
      </c>
      <c r="E454" s="26">
        <v>183</v>
      </c>
      <c r="F454" s="26">
        <f t="shared" si="12"/>
        <v>1.6393442622950821E-2</v>
      </c>
      <c r="G454" s="30"/>
      <c r="H454" s="30"/>
      <c r="I454" s="30"/>
      <c r="J454" s="30"/>
    </row>
    <row r="455" spans="1:10" x14ac:dyDescent="0.25">
      <c r="A455" s="26">
        <v>5</v>
      </c>
      <c r="B455" s="26">
        <v>7.5</v>
      </c>
      <c r="C455" s="26">
        <v>1.4</v>
      </c>
      <c r="D455" s="26">
        <v>0.5</v>
      </c>
      <c r="E455" s="26">
        <v>31</v>
      </c>
      <c r="F455" s="26">
        <f t="shared" si="12"/>
        <v>1.6129032258064516E-2</v>
      </c>
      <c r="G455" s="30"/>
      <c r="H455" s="30"/>
      <c r="I455" s="30"/>
      <c r="J455" s="30"/>
    </row>
    <row r="456" spans="1:10" x14ac:dyDescent="0.25">
      <c r="A456" s="26">
        <v>5</v>
      </c>
      <c r="B456" s="26">
        <v>7.5</v>
      </c>
      <c r="C456" s="26">
        <v>1.4</v>
      </c>
      <c r="D456" s="26">
        <v>1</v>
      </c>
      <c r="E456" s="26">
        <v>62</v>
      </c>
      <c r="F456" s="26">
        <f t="shared" si="12"/>
        <v>1.6129032258064516E-2</v>
      </c>
      <c r="G456" s="30"/>
      <c r="H456" s="30"/>
      <c r="I456" s="30"/>
      <c r="J456" s="30"/>
    </row>
    <row r="457" spans="1:10" x14ac:dyDescent="0.25">
      <c r="A457" s="26">
        <v>5</v>
      </c>
      <c r="B457" s="26">
        <v>7.5</v>
      </c>
      <c r="C457" s="26">
        <v>1.4</v>
      </c>
      <c r="D457" s="26">
        <v>1.5</v>
      </c>
      <c r="E457" s="26">
        <v>94</v>
      </c>
      <c r="F457" s="26">
        <f t="shared" si="12"/>
        <v>1.5957446808510637E-2</v>
      </c>
      <c r="G457" s="30"/>
      <c r="H457" s="30"/>
      <c r="I457" s="30"/>
      <c r="J457" s="30"/>
    </row>
    <row r="458" spans="1:10" x14ac:dyDescent="0.25">
      <c r="A458" s="26">
        <v>5</v>
      </c>
      <c r="B458" s="26">
        <v>7.5</v>
      </c>
      <c r="C458" s="26">
        <v>1.4</v>
      </c>
      <c r="D458" s="26">
        <v>2</v>
      </c>
      <c r="E458" s="26">
        <v>125</v>
      </c>
      <c r="F458" s="26">
        <f t="shared" si="12"/>
        <v>1.6E-2</v>
      </c>
      <c r="G458" s="30"/>
      <c r="H458" s="30"/>
      <c r="I458" s="30"/>
      <c r="J458" s="30"/>
    </row>
    <row r="459" spans="1:10" x14ac:dyDescent="0.25">
      <c r="A459" s="26">
        <v>5</v>
      </c>
      <c r="B459" s="26">
        <v>7.5</v>
      </c>
      <c r="C459" s="26">
        <v>1.4</v>
      </c>
      <c r="D459" s="26">
        <v>2.5</v>
      </c>
      <c r="E459" s="26">
        <v>156</v>
      </c>
      <c r="F459" s="26">
        <f t="shared" si="12"/>
        <v>1.6025641025641024E-2</v>
      </c>
      <c r="G459" s="30"/>
      <c r="H459" s="30"/>
      <c r="I459" s="30"/>
      <c r="J459" s="30"/>
    </row>
    <row r="460" spans="1:10" x14ac:dyDescent="0.25">
      <c r="A460" s="26">
        <v>5</v>
      </c>
      <c r="B460" s="26">
        <v>7.5</v>
      </c>
      <c r="C460" s="26">
        <v>1.4</v>
      </c>
      <c r="D460" s="26">
        <v>3</v>
      </c>
      <c r="E460" s="26">
        <v>187</v>
      </c>
      <c r="F460" s="26">
        <f t="shared" si="12"/>
        <v>1.6042780748663103E-2</v>
      </c>
      <c r="G460" s="30"/>
      <c r="H460" s="30"/>
      <c r="I460" s="30"/>
      <c r="J460" s="30"/>
    </row>
    <row r="461" spans="1:10" x14ac:dyDescent="0.25">
      <c r="A461" s="26">
        <v>5</v>
      </c>
      <c r="B461" s="26">
        <v>7.5</v>
      </c>
      <c r="C461" s="26">
        <v>1.6</v>
      </c>
      <c r="D461" s="26">
        <v>0.5</v>
      </c>
      <c r="E461" s="26">
        <v>32</v>
      </c>
      <c r="F461" s="26">
        <f t="shared" si="12"/>
        <v>1.5625E-2</v>
      </c>
      <c r="G461" s="30"/>
      <c r="H461" s="30"/>
      <c r="I461" s="30"/>
      <c r="J461" s="30"/>
    </row>
    <row r="462" spans="1:10" x14ac:dyDescent="0.25">
      <c r="A462" s="26">
        <v>5</v>
      </c>
      <c r="B462" s="26">
        <v>7.5</v>
      </c>
      <c r="C462" s="26">
        <v>1.6</v>
      </c>
      <c r="D462" s="26">
        <v>1</v>
      </c>
      <c r="E462" s="26">
        <v>64</v>
      </c>
      <c r="F462" s="26">
        <f t="shared" si="12"/>
        <v>1.5625E-2</v>
      </c>
      <c r="G462" s="30"/>
      <c r="H462" s="30"/>
      <c r="I462" s="30"/>
      <c r="J462" s="30"/>
    </row>
    <row r="463" spans="1:10" x14ac:dyDescent="0.25">
      <c r="A463" s="26">
        <v>5</v>
      </c>
      <c r="B463" s="26">
        <v>7.5</v>
      </c>
      <c r="C463" s="26">
        <v>1.6</v>
      </c>
      <c r="D463" s="26">
        <v>1.5</v>
      </c>
      <c r="E463" s="26">
        <v>96</v>
      </c>
      <c r="F463" s="26">
        <f t="shared" si="12"/>
        <v>1.5625E-2</v>
      </c>
      <c r="G463" s="30"/>
      <c r="H463" s="30"/>
      <c r="I463" s="30"/>
      <c r="J463" s="30"/>
    </row>
    <row r="464" spans="1:10" x14ac:dyDescent="0.25">
      <c r="A464" s="26">
        <v>5</v>
      </c>
      <c r="B464" s="26">
        <v>7.5</v>
      </c>
      <c r="C464" s="26">
        <v>1.6</v>
      </c>
      <c r="D464" s="26">
        <v>2</v>
      </c>
      <c r="E464" s="26">
        <v>128</v>
      </c>
      <c r="F464" s="26">
        <f t="shared" si="12"/>
        <v>1.5625E-2</v>
      </c>
      <c r="G464" s="30"/>
      <c r="H464" s="30"/>
      <c r="I464" s="30"/>
      <c r="J464" s="30"/>
    </row>
    <row r="465" spans="1:10" x14ac:dyDescent="0.25">
      <c r="A465" s="26">
        <v>5</v>
      </c>
      <c r="B465" s="26">
        <v>7.5</v>
      </c>
      <c r="C465" s="26">
        <v>1.6</v>
      </c>
      <c r="D465" s="26">
        <v>2.5</v>
      </c>
      <c r="E465" s="26">
        <v>160</v>
      </c>
      <c r="F465" s="26">
        <f t="shared" si="12"/>
        <v>1.5625E-2</v>
      </c>
      <c r="G465" s="30"/>
      <c r="H465" s="30"/>
      <c r="I465" s="30"/>
      <c r="J465" s="30"/>
    </row>
    <row r="466" spans="1:10" x14ac:dyDescent="0.25">
      <c r="A466" s="26">
        <v>5</v>
      </c>
      <c r="B466" s="26">
        <v>7.5</v>
      </c>
      <c r="C466" s="26">
        <v>1.6</v>
      </c>
      <c r="D466" s="26">
        <v>3</v>
      </c>
      <c r="E466" s="26">
        <v>192</v>
      </c>
      <c r="F466" s="26">
        <f t="shared" si="12"/>
        <v>1.5625E-2</v>
      </c>
      <c r="G466" s="30"/>
      <c r="H466" s="30"/>
      <c r="I466" s="30"/>
      <c r="J466" s="30"/>
    </row>
    <row r="467" spans="1:10" x14ac:dyDescent="0.25">
      <c r="A467" s="26">
        <v>5</v>
      </c>
      <c r="B467" s="26">
        <v>7.5</v>
      </c>
      <c r="C467" s="26">
        <v>1.8</v>
      </c>
      <c r="D467" s="26">
        <v>0.5</v>
      </c>
      <c r="E467" s="26">
        <v>33</v>
      </c>
      <c r="F467" s="26">
        <f t="shared" si="12"/>
        <v>1.5151515151515152E-2</v>
      </c>
      <c r="G467" s="30"/>
      <c r="H467" s="30"/>
      <c r="I467" s="30"/>
      <c r="J467" s="30"/>
    </row>
    <row r="468" spans="1:10" x14ac:dyDescent="0.25">
      <c r="A468" s="26">
        <v>5</v>
      </c>
      <c r="B468" s="26">
        <v>7.5</v>
      </c>
      <c r="C468" s="26">
        <v>1.8</v>
      </c>
      <c r="D468" s="26">
        <v>1</v>
      </c>
      <c r="E468" s="26">
        <v>65</v>
      </c>
      <c r="F468" s="26">
        <f t="shared" si="12"/>
        <v>1.5384615384615385E-2</v>
      </c>
      <c r="G468" s="30"/>
      <c r="H468" s="30"/>
      <c r="I468" s="30"/>
      <c r="J468" s="30"/>
    </row>
    <row r="469" spans="1:10" x14ac:dyDescent="0.25">
      <c r="A469" s="26">
        <v>5</v>
      </c>
      <c r="B469" s="26">
        <v>7.5</v>
      </c>
      <c r="C469" s="26">
        <v>1.8</v>
      </c>
      <c r="D469" s="26">
        <v>1.5</v>
      </c>
      <c r="E469" s="26">
        <v>98</v>
      </c>
      <c r="F469" s="26">
        <f t="shared" si="12"/>
        <v>1.5306122448979591E-2</v>
      </c>
      <c r="G469" s="30"/>
      <c r="H469" s="30"/>
      <c r="I469" s="30"/>
      <c r="J469" s="30"/>
    </row>
    <row r="470" spans="1:10" x14ac:dyDescent="0.25">
      <c r="A470" s="26">
        <v>5</v>
      </c>
      <c r="B470" s="26">
        <v>7.5</v>
      </c>
      <c r="C470" s="26">
        <v>1.8</v>
      </c>
      <c r="D470" s="26">
        <v>2</v>
      </c>
      <c r="E470" s="26">
        <v>131</v>
      </c>
      <c r="F470" s="26">
        <f t="shared" si="12"/>
        <v>1.5267175572519083E-2</v>
      </c>
      <c r="G470" s="30"/>
      <c r="H470" s="30"/>
      <c r="I470" s="30"/>
      <c r="J470" s="30"/>
    </row>
    <row r="471" spans="1:10" x14ac:dyDescent="0.25">
      <c r="A471" s="26">
        <v>5</v>
      </c>
      <c r="B471" s="26">
        <v>7.5</v>
      </c>
      <c r="C471" s="26">
        <v>1.8</v>
      </c>
      <c r="D471" s="26">
        <v>2.5</v>
      </c>
      <c r="E471" s="26">
        <v>163</v>
      </c>
      <c r="F471" s="26">
        <f t="shared" si="12"/>
        <v>1.5337423312883436E-2</v>
      </c>
      <c r="G471" s="30"/>
      <c r="H471" s="30"/>
      <c r="I471" s="30"/>
      <c r="J471" s="30"/>
    </row>
    <row r="472" spans="1:10" x14ac:dyDescent="0.25">
      <c r="A472" s="26">
        <v>5</v>
      </c>
      <c r="B472" s="26">
        <v>7.5</v>
      </c>
      <c r="C472" s="26">
        <v>1.8</v>
      </c>
      <c r="D472" s="26">
        <v>3</v>
      </c>
      <c r="E472" s="26">
        <v>196</v>
      </c>
      <c r="F472" s="26">
        <f t="shared" si="12"/>
        <v>1.5306122448979591E-2</v>
      </c>
      <c r="G472" s="30"/>
      <c r="H472" s="30"/>
      <c r="I472" s="30"/>
      <c r="J472" s="30"/>
    </row>
    <row r="473" spans="1:10" x14ac:dyDescent="0.25">
      <c r="A473" s="26">
        <v>5</v>
      </c>
      <c r="B473" s="26">
        <v>7.5</v>
      </c>
      <c r="C473" s="26">
        <v>2</v>
      </c>
      <c r="D473" s="26">
        <v>0.5</v>
      </c>
      <c r="E473" s="26">
        <v>33</v>
      </c>
      <c r="F473" s="26">
        <f t="shared" si="12"/>
        <v>1.5151515151515152E-2</v>
      </c>
      <c r="G473" s="30"/>
      <c r="H473" s="30"/>
      <c r="I473" s="30"/>
      <c r="J473" s="30"/>
    </row>
    <row r="474" spans="1:10" x14ac:dyDescent="0.25">
      <c r="A474" s="26">
        <v>5</v>
      </c>
      <c r="B474" s="26">
        <v>7.5</v>
      </c>
      <c r="C474" s="26">
        <v>2</v>
      </c>
      <c r="D474" s="26">
        <v>1</v>
      </c>
      <c r="E474" s="26">
        <v>67</v>
      </c>
      <c r="F474" s="26">
        <f t="shared" si="12"/>
        <v>1.4925373134328358E-2</v>
      </c>
      <c r="G474" s="30"/>
      <c r="H474" s="30"/>
      <c r="I474" s="30"/>
      <c r="J474" s="30"/>
    </row>
    <row r="475" spans="1:10" x14ac:dyDescent="0.25">
      <c r="A475" s="26">
        <v>5</v>
      </c>
      <c r="B475" s="26">
        <v>7.5</v>
      </c>
      <c r="C475" s="26">
        <v>2</v>
      </c>
      <c r="D475" s="26">
        <v>1.5</v>
      </c>
      <c r="E475" s="26">
        <v>100</v>
      </c>
      <c r="F475" s="26">
        <f t="shared" si="12"/>
        <v>1.4999999999999999E-2</v>
      </c>
      <c r="G475" s="30"/>
      <c r="H475" s="30"/>
      <c r="I475" s="30"/>
      <c r="J475" s="30"/>
    </row>
    <row r="476" spans="1:10" x14ac:dyDescent="0.25">
      <c r="A476" s="26">
        <v>5</v>
      </c>
      <c r="B476" s="26">
        <v>7.5</v>
      </c>
      <c r="C476" s="26">
        <v>2</v>
      </c>
      <c r="D476" s="26">
        <v>2</v>
      </c>
      <c r="E476" s="26">
        <v>133</v>
      </c>
      <c r="F476" s="26">
        <f t="shared" si="12"/>
        <v>1.5037593984962405E-2</v>
      </c>
      <c r="G476" s="30"/>
      <c r="H476" s="30"/>
      <c r="I476" s="30"/>
      <c r="J476" s="30"/>
    </row>
    <row r="477" spans="1:10" x14ac:dyDescent="0.25">
      <c r="A477" s="26">
        <v>5</v>
      </c>
      <c r="B477" s="26">
        <v>7.5</v>
      </c>
      <c r="C477" s="26">
        <v>2</v>
      </c>
      <c r="D477" s="26">
        <v>2.5</v>
      </c>
      <c r="E477" s="26">
        <v>167</v>
      </c>
      <c r="F477" s="26">
        <f t="shared" si="12"/>
        <v>1.4970059880239521E-2</v>
      </c>
      <c r="G477" s="30"/>
      <c r="H477" s="30"/>
      <c r="I477" s="30"/>
      <c r="J477" s="30"/>
    </row>
    <row r="478" spans="1:10" x14ac:dyDescent="0.25">
      <c r="A478" s="26">
        <v>5</v>
      </c>
      <c r="B478" s="26">
        <v>7.5</v>
      </c>
      <c r="C478" s="26">
        <v>2</v>
      </c>
      <c r="D478" s="26">
        <v>3</v>
      </c>
      <c r="E478" s="26">
        <v>200</v>
      </c>
      <c r="F478" s="26">
        <f t="shared" si="12"/>
        <v>1.4999999999999999E-2</v>
      </c>
      <c r="G478" s="30"/>
      <c r="H478" s="30"/>
      <c r="I478" s="30"/>
      <c r="J478" s="30"/>
    </row>
    <row r="479" spans="1:10" x14ac:dyDescent="0.25">
      <c r="A479" s="26">
        <v>5</v>
      </c>
      <c r="B479" s="26">
        <v>7.5</v>
      </c>
      <c r="C479" s="26">
        <v>2.2000000000000002</v>
      </c>
      <c r="D479" s="26">
        <v>0.5</v>
      </c>
      <c r="E479" s="26">
        <v>34</v>
      </c>
      <c r="F479" s="26">
        <f t="shared" si="12"/>
        <v>1.4705882352941176E-2</v>
      </c>
      <c r="G479" s="30"/>
      <c r="H479" s="30"/>
      <c r="I479" s="30"/>
      <c r="J479" s="30"/>
    </row>
    <row r="480" spans="1:10" x14ac:dyDescent="0.25">
      <c r="A480" s="26">
        <v>5</v>
      </c>
      <c r="B480" s="26">
        <v>7.5</v>
      </c>
      <c r="C480" s="26">
        <v>2.2000000000000002</v>
      </c>
      <c r="D480" s="26">
        <v>1</v>
      </c>
      <c r="E480" s="26">
        <v>68</v>
      </c>
      <c r="F480" s="26">
        <f t="shared" si="12"/>
        <v>1.4705882352941176E-2</v>
      </c>
      <c r="G480" s="30"/>
      <c r="H480" s="30"/>
      <c r="I480" s="30"/>
      <c r="J480" s="30"/>
    </row>
    <row r="481" spans="1:10" x14ac:dyDescent="0.25">
      <c r="A481" s="26">
        <v>5</v>
      </c>
      <c r="B481" s="26">
        <v>7.5</v>
      </c>
      <c r="C481" s="26">
        <v>2.2000000000000002</v>
      </c>
      <c r="D481" s="26">
        <v>1.5</v>
      </c>
      <c r="E481" s="26">
        <v>102</v>
      </c>
      <c r="F481" s="26">
        <f t="shared" si="12"/>
        <v>1.4705882352941176E-2</v>
      </c>
      <c r="G481" s="30"/>
      <c r="H481" s="30"/>
      <c r="I481" s="30"/>
      <c r="J481" s="30"/>
    </row>
    <row r="482" spans="1:10" x14ac:dyDescent="0.25">
      <c r="A482" s="26">
        <v>5</v>
      </c>
      <c r="B482" s="26">
        <v>7.5</v>
      </c>
      <c r="C482" s="26">
        <v>2.2000000000000002</v>
      </c>
      <c r="D482" s="26">
        <v>2</v>
      </c>
      <c r="E482" s="26">
        <v>136</v>
      </c>
      <c r="F482" s="26">
        <f t="shared" si="12"/>
        <v>1.4705882352941176E-2</v>
      </c>
      <c r="G482" s="30"/>
      <c r="H482" s="30"/>
      <c r="I482" s="30"/>
      <c r="J482" s="30"/>
    </row>
    <row r="483" spans="1:10" x14ac:dyDescent="0.25">
      <c r="A483" s="26">
        <v>5</v>
      </c>
      <c r="B483" s="26">
        <v>7.5</v>
      </c>
      <c r="C483" s="26">
        <v>2.2000000000000002</v>
      </c>
      <c r="D483" s="26">
        <v>2.5</v>
      </c>
      <c r="E483" s="26">
        <v>170</v>
      </c>
      <c r="F483" s="26">
        <f t="shared" si="12"/>
        <v>1.4705882352941176E-2</v>
      </c>
      <c r="G483" s="30"/>
      <c r="H483" s="30"/>
      <c r="I483" s="30"/>
      <c r="J483" s="30"/>
    </row>
    <row r="484" spans="1:10" x14ac:dyDescent="0.25">
      <c r="A484" s="26">
        <v>5</v>
      </c>
      <c r="B484" s="26">
        <v>7.5</v>
      </c>
      <c r="C484" s="26">
        <v>2.2000000000000002</v>
      </c>
      <c r="D484" s="26">
        <v>3</v>
      </c>
      <c r="E484" s="26">
        <v>204</v>
      </c>
      <c r="F484" s="26">
        <f t="shared" si="12"/>
        <v>1.4705882352941176E-2</v>
      </c>
      <c r="G484" s="30"/>
      <c r="H484" s="30"/>
      <c r="I484" s="30"/>
      <c r="J484" s="30"/>
    </row>
    <row r="485" spans="1:10" x14ac:dyDescent="0.25">
      <c r="A485" s="26">
        <v>5</v>
      </c>
      <c r="B485" s="26">
        <v>7.5</v>
      </c>
      <c r="C485" s="26">
        <v>2.4</v>
      </c>
      <c r="D485" s="26">
        <v>0.5</v>
      </c>
      <c r="E485" s="26">
        <v>35</v>
      </c>
      <c r="F485" s="26">
        <f t="shared" si="12"/>
        <v>1.4285714285714285E-2</v>
      </c>
      <c r="G485" s="30"/>
      <c r="H485" s="30"/>
      <c r="I485" s="30"/>
      <c r="J485" s="30"/>
    </row>
    <row r="486" spans="1:10" x14ac:dyDescent="0.25">
      <c r="A486" s="26">
        <v>5</v>
      </c>
      <c r="B486" s="26">
        <v>7.5</v>
      </c>
      <c r="C486" s="26">
        <v>2.4</v>
      </c>
      <c r="D486" s="26">
        <v>1</v>
      </c>
      <c r="E486" s="26">
        <v>70</v>
      </c>
      <c r="F486" s="26">
        <f t="shared" si="12"/>
        <v>1.4285714285714285E-2</v>
      </c>
      <c r="G486" s="30"/>
      <c r="H486" s="30"/>
      <c r="I486" s="30"/>
      <c r="J486" s="30"/>
    </row>
    <row r="487" spans="1:10" x14ac:dyDescent="0.25">
      <c r="A487" s="26">
        <v>5</v>
      </c>
      <c r="B487" s="26">
        <v>7.5</v>
      </c>
      <c r="C487" s="26">
        <v>2.4</v>
      </c>
      <c r="D487" s="26">
        <v>1.5</v>
      </c>
      <c r="E487" s="26">
        <v>105</v>
      </c>
      <c r="F487" s="26">
        <f t="shared" si="12"/>
        <v>1.4285714285714285E-2</v>
      </c>
      <c r="G487" s="30"/>
      <c r="H487" s="30"/>
      <c r="I487" s="30"/>
      <c r="J487" s="30"/>
    </row>
    <row r="488" spans="1:10" x14ac:dyDescent="0.25">
      <c r="A488" s="26">
        <v>5</v>
      </c>
      <c r="B488" s="26">
        <v>7.5</v>
      </c>
      <c r="C488" s="26">
        <v>2.4</v>
      </c>
      <c r="D488" s="26">
        <v>2</v>
      </c>
      <c r="E488" s="26">
        <v>139</v>
      </c>
      <c r="F488" s="26">
        <f t="shared" si="12"/>
        <v>1.4388489208633094E-2</v>
      </c>
      <c r="G488" s="30"/>
      <c r="H488" s="30"/>
      <c r="I488" s="30"/>
      <c r="J488" s="30"/>
    </row>
    <row r="489" spans="1:10" x14ac:dyDescent="0.25">
      <c r="A489" s="26">
        <v>5</v>
      </c>
      <c r="B489" s="26">
        <v>7.5</v>
      </c>
      <c r="C489" s="26">
        <v>2.4</v>
      </c>
      <c r="D489" s="26">
        <v>2.5</v>
      </c>
      <c r="E489" s="26">
        <v>174</v>
      </c>
      <c r="F489" s="26">
        <f t="shared" si="12"/>
        <v>1.4367816091954023E-2</v>
      </c>
      <c r="G489" s="30"/>
      <c r="H489" s="30"/>
      <c r="I489" s="30"/>
      <c r="J489" s="30"/>
    </row>
    <row r="490" spans="1:10" x14ac:dyDescent="0.25">
      <c r="A490" s="26">
        <v>5</v>
      </c>
      <c r="B490" s="26">
        <v>7.5</v>
      </c>
      <c r="C490" s="26">
        <v>2.4</v>
      </c>
      <c r="D490" s="26">
        <v>3</v>
      </c>
      <c r="E490" s="26">
        <v>209</v>
      </c>
      <c r="F490" s="26">
        <f t="shared" si="12"/>
        <v>1.4354066985645933E-2</v>
      </c>
      <c r="G490" s="30"/>
      <c r="H490" s="30"/>
      <c r="I490" s="30"/>
      <c r="J490" s="30"/>
    </row>
    <row r="491" spans="1:10" x14ac:dyDescent="0.25">
      <c r="A491" s="26">
        <v>5</v>
      </c>
      <c r="B491" s="26">
        <v>7.5</v>
      </c>
      <c r="C491" s="26">
        <v>2.6</v>
      </c>
      <c r="D491" s="26">
        <v>0.5</v>
      </c>
      <c r="E491" s="26">
        <v>36</v>
      </c>
      <c r="F491" s="26">
        <f t="shared" si="12"/>
        <v>1.3888888888888888E-2</v>
      </c>
      <c r="G491" s="30"/>
      <c r="H491" s="30"/>
      <c r="I491" s="30"/>
      <c r="J491" s="30"/>
    </row>
    <row r="492" spans="1:10" x14ac:dyDescent="0.25">
      <c r="A492" s="26">
        <v>5</v>
      </c>
      <c r="B492" s="26">
        <v>7.5</v>
      </c>
      <c r="C492" s="26">
        <v>2.6</v>
      </c>
      <c r="D492" s="26">
        <v>1</v>
      </c>
      <c r="E492" s="26">
        <v>71</v>
      </c>
      <c r="F492" s="26">
        <f t="shared" si="12"/>
        <v>1.4084507042253521E-2</v>
      </c>
      <c r="G492" s="30"/>
      <c r="H492" s="30"/>
      <c r="I492" s="30"/>
      <c r="J492" s="30"/>
    </row>
    <row r="493" spans="1:10" x14ac:dyDescent="0.25">
      <c r="A493" s="26">
        <v>5</v>
      </c>
      <c r="B493" s="26">
        <v>7.5</v>
      </c>
      <c r="C493" s="26">
        <v>2.6</v>
      </c>
      <c r="D493" s="26">
        <v>1.5</v>
      </c>
      <c r="E493" s="26">
        <v>107</v>
      </c>
      <c r="F493" s="26">
        <f t="shared" si="12"/>
        <v>1.4018691588785047E-2</v>
      </c>
      <c r="G493" s="30"/>
      <c r="H493" s="30"/>
      <c r="I493" s="30"/>
      <c r="J493" s="30"/>
    </row>
    <row r="494" spans="1:10" x14ac:dyDescent="0.25">
      <c r="A494" s="26">
        <v>5</v>
      </c>
      <c r="B494" s="26">
        <v>7.5</v>
      </c>
      <c r="C494" s="26">
        <v>2.6</v>
      </c>
      <c r="D494" s="26">
        <v>2</v>
      </c>
      <c r="E494" s="26">
        <v>142</v>
      </c>
      <c r="F494" s="26">
        <f t="shared" si="12"/>
        <v>1.4084507042253521E-2</v>
      </c>
      <c r="G494" s="30"/>
      <c r="H494" s="30"/>
      <c r="I494" s="30"/>
      <c r="J494" s="30"/>
    </row>
    <row r="495" spans="1:10" x14ac:dyDescent="0.25">
      <c r="A495" s="26">
        <v>5</v>
      </c>
      <c r="B495" s="26">
        <v>7.5</v>
      </c>
      <c r="C495" s="26">
        <v>2.6</v>
      </c>
      <c r="D495" s="26">
        <v>2.5</v>
      </c>
      <c r="E495" s="26">
        <v>178</v>
      </c>
      <c r="F495" s="26">
        <f t="shared" si="12"/>
        <v>1.4044943820224719E-2</v>
      </c>
      <c r="G495" s="30"/>
      <c r="H495" s="30"/>
      <c r="I495" s="30"/>
      <c r="J495" s="30"/>
    </row>
    <row r="496" spans="1:10" x14ac:dyDescent="0.25">
      <c r="A496" s="26">
        <v>5</v>
      </c>
      <c r="B496" s="26">
        <v>7.5</v>
      </c>
      <c r="C496" s="26">
        <v>2.6</v>
      </c>
      <c r="D496" s="26">
        <v>3</v>
      </c>
      <c r="E496" s="26">
        <v>213</v>
      </c>
      <c r="F496" s="26">
        <f t="shared" si="12"/>
        <v>1.4084507042253521E-2</v>
      </c>
      <c r="G496" s="30"/>
      <c r="H496" s="30"/>
      <c r="I496" s="30"/>
      <c r="J496" s="30"/>
    </row>
    <row r="497" spans="1:10" x14ac:dyDescent="0.25">
      <c r="A497" s="26">
        <v>5</v>
      </c>
      <c r="B497" s="26">
        <v>7.5</v>
      </c>
      <c r="C497" s="26">
        <v>2.8</v>
      </c>
      <c r="D497" s="26">
        <v>0.5</v>
      </c>
      <c r="E497" s="26">
        <v>36</v>
      </c>
      <c r="F497" s="26">
        <f t="shared" si="12"/>
        <v>1.3888888888888888E-2</v>
      </c>
      <c r="G497" s="30"/>
      <c r="H497" s="30"/>
      <c r="I497" s="30"/>
      <c r="J497" s="30"/>
    </row>
    <row r="498" spans="1:10" x14ac:dyDescent="0.25">
      <c r="A498" s="26">
        <v>5</v>
      </c>
      <c r="B498" s="26">
        <v>7.5</v>
      </c>
      <c r="C498" s="26">
        <v>2.8</v>
      </c>
      <c r="D498" s="26">
        <v>1</v>
      </c>
      <c r="E498" s="26">
        <v>72</v>
      </c>
      <c r="F498" s="26">
        <f t="shared" si="12"/>
        <v>1.3888888888888888E-2</v>
      </c>
      <c r="G498" s="30"/>
      <c r="H498" s="30"/>
      <c r="I498" s="30"/>
      <c r="J498" s="30"/>
    </row>
    <row r="499" spans="1:10" x14ac:dyDescent="0.25">
      <c r="A499" s="26">
        <v>5</v>
      </c>
      <c r="B499" s="26">
        <v>7.5</v>
      </c>
      <c r="C499" s="26">
        <v>2.8</v>
      </c>
      <c r="D499" s="26">
        <v>1.5</v>
      </c>
      <c r="E499" s="26">
        <v>109</v>
      </c>
      <c r="F499" s="26">
        <f t="shared" si="12"/>
        <v>1.3761467889908258E-2</v>
      </c>
      <c r="G499" s="30"/>
      <c r="H499" s="30"/>
      <c r="I499" s="30"/>
      <c r="J499" s="30"/>
    </row>
    <row r="500" spans="1:10" x14ac:dyDescent="0.25">
      <c r="A500" s="26">
        <v>5</v>
      </c>
      <c r="B500" s="26">
        <v>7.5</v>
      </c>
      <c r="C500" s="26">
        <v>2.8</v>
      </c>
      <c r="D500" s="26">
        <v>2</v>
      </c>
      <c r="E500" s="26">
        <v>145</v>
      </c>
      <c r="F500" s="26">
        <f t="shared" si="12"/>
        <v>1.3793103448275862E-2</v>
      </c>
      <c r="G500" s="30"/>
      <c r="H500" s="30"/>
      <c r="I500" s="30"/>
      <c r="J500" s="30"/>
    </row>
    <row r="501" spans="1:10" x14ac:dyDescent="0.25">
      <c r="A501" s="26">
        <v>5</v>
      </c>
      <c r="B501" s="26">
        <v>7.5</v>
      </c>
      <c r="C501" s="26">
        <v>2.8</v>
      </c>
      <c r="D501" s="26">
        <v>2.5</v>
      </c>
      <c r="E501" s="26">
        <v>181</v>
      </c>
      <c r="F501" s="26">
        <f t="shared" si="12"/>
        <v>1.3812154696132596E-2</v>
      </c>
      <c r="G501" s="30"/>
      <c r="H501" s="30"/>
      <c r="I501" s="30"/>
      <c r="J501" s="30"/>
    </row>
    <row r="502" spans="1:10" x14ac:dyDescent="0.25">
      <c r="A502" s="26">
        <v>5</v>
      </c>
      <c r="B502" s="26">
        <v>7.5</v>
      </c>
      <c r="C502" s="26">
        <v>2.8</v>
      </c>
      <c r="D502" s="26">
        <v>3</v>
      </c>
      <c r="E502" s="26">
        <v>217</v>
      </c>
      <c r="F502" s="26">
        <f t="shared" si="12"/>
        <v>1.3824884792626729E-2</v>
      </c>
      <c r="G502" s="30"/>
      <c r="H502" s="30"/>
      <c r="I502" s="30"/>
      <c r="J502" s="30"/>
    </row>
    <row r="503" spans="1:10" x14ac:dyDescent="0.25">
      <c r="A503" s="26">
        <v>5</v>
      </c>
      <c r="B503" s="26">
        <v>7.5</v>
      </c>
      <c r="C503" s="26">
        <v>3</v>
      </c>
      <c r="D503" s="26">
        <v>0.5</v>
      </c>
      <c r="E503" s="26">
        <v>37</v>
      </c>
      <c r="F503" s="26">
        <f t="shared" si="12"/>
        <v>1.3513513513513514E-2</v>
      </c>
      <c r="G503" s="30"/>
      <c r="H503" s="30"/>
      <c r="I503" s="30"/>
      <c r="J503" s="30"/>
    </row>
    <row r="504" spans="1:10" x14ac:dyDescent="0.25">
      <c r="A504" s="26">
        <v>5</v>
      </c>
      <c r="B504" s="26">
        <v>7.5</v>
      </c>
      <c r="C504" s="26">
        <v>3</v>
      </c>
      <c r="D504" s="26">
        <v>1</v>
      </c>
      <c r="E504" s="26">
        <v>74</v>
      </c>
      <c r="F504" s="26">
        <f t="shared" si="12"/>
        <v>1.3513513513513514E-2</v>
      </c>
      <c r="G504" s="30"/>
      <c r="H504" s="30"/>
      <c r="I504" s="30"/>
      <c r="J504" s="30"/>
    </row>
    <row r="505" spans="1:10" x14ac:dyDescent="0.25">
      <c r="A505" s="26">
        <v>5</v>
      </c>
      <c r="B505" s="26">
        <v>7.5</v>
      </c>
      <c r="C505" s="26">
        <v>3</v>
      </c>
      <c r="D505" s="26">
        <v>1.5</v>
      </c>
      <c r="E505" s="26">
        <v>111</v>
      </c>
      <c r="F505" s="26">
        <f t="shared" si="12"/>
        <v>1.3513513513513514E-2</v>
      </c>
      <c r="G505" s="30"/>
      <c r="H505" s="30"/>
      <c r="I505" s="30"/>
      <c r="J505" s="30"/>
    </row>
    <row r="506" spans="1:10" x14ac:dyDescent="0.25">
      <c r="A506" s="26">
        <v>5</v>
      </c>
      <c r="B506" s="26">
        <v>7.5</v>
      </c>
      <c r="C506" s="26">
        <v>3</v>
      </c>
      <c r="D506" s="26">
        <v>2</v>
      </c>
      <c r="E506" s="26">
        <v>147</v>
      </c>
      <c r="F506" s="26">
        <f t="shared" si="12"/>
        <v>1.3605442176870748E-2</v>
      </c>
      <c r="G506" s="30"/>
      <c r="H506" s="30"/>
      <c r="I506" s="30"/>
      <c r="J506" s="30"/>
    </row>
    <row r="507" spans="1:10" x14ac:dyDescent="0.25">
      <c r="A507" s="26">
        <v>5</v>
      </c>
      <c r="B507" s="26">
        <v>7.5</v>
      </c>
      <c r="C507" s="26">
        <v>3</v>
      </c>
      <c r="D507" s="26">
        <v>2.5</v>
      </c>
      <c r="E507" s="26">
        <v>184</v>
      </c>
      <c r="F507" s="26">
        <f t="shared" si="12"/>
        <v>1.358695652173913E-2</v>
      </c>
      <c r="G507" s="30"/>
      <c r="H507" s="30"/>
      <c r="I507" s="30"/>
      <c r="J507" s="30"/>
    </row>
    <row r="508" spans="1:10" x14ac:dyDescent="0.25">
      <c r="A508" s="73">
        <v>5</v>
      </c>
      <c r="B508" s="73">
        <v>7.5</v>
      </c>
      <c r="C508" s="73">
        <v>3</v>
      </c>
      <c r="D508" s="73">
        <v>3</v>
      </c>
      <c r="E508" s="73">
        <v>221</v>
      </c>
      <c r="F508" s="73">
        <f t="shared" si="12"/>
        <v>1.3574660633484163E-2</v>
      </c>
      <c r="G508" s="30"/>
      <c r="H508" s="30"/>
      <c r="I508" s="30"/>
      <c r="J508" s="30"/>
    </row>
    <row r="509" spans="1:10" x14ac:dyDescent="0.25">
      <c r="A509" s="26">
        <v>5</v>
      </c>
      <c r="B509" s="26">
        <v>8</v>
      </c>
      <c r="C509" s="26">
        <v>0.4</v>
      </c>
      <c r="D509" s="26">
        <v>0.5</v>
      </c>
      <c r="E509" s="26">
        <v>33</v>
      </c>
      <c r="F509" s="26">
        <f t="shared" si="12"/>
        <v>1.5151515151515152E-2</v>
      </c>
      <c r="I509" s="30"/>
      <c r="J509" s="30"/>
    </row>
    <row r="510" spans="1:10" x14ac:dyDescent="0.25">
      <c r="A510" s="26">
        <v>5</v>
      </c>
      <c r="B510" s="26">
        <v>8</v>
      </c>
      <c r="C510" s="26">
        <v>0.4</v>
      </c>
      <c r="D510" s="26">
        <v>1</v>
      </c>
      <c r="E510" s="26">
        <v>66</v>
      </c>
      <c r="F510" s="26">
        <f t="shared" si="12"/>
        <v>1.5151515151515152E-2</v>
      </c>
      <c r="I510" s="30"/>
      <c r="J510" s="30"/>
    </row>
    <row r="511" spans="1:10" x14ac:dyDescent="0.25">
      <c r="A511" s="26">
        <v>5</v>
      </c>
      <c r="B511" s="26">
        <v>8</v>
      </c>
      <c r="C511" s="26">
        <v>0.4</v>
      </c>
      <c r="D511" s="26">
        <v>1.5</v>
      </c>
      <c r="E511" s="26">
        <v>99</v>
      </c>
      <c r="F511" s="26">
        <f t="shared" si="12"/>
        <v>1.5151515151515152E-2</v>
      </c>
      <c r="I511" s="30"/>
      <c r="J511" s="30"/>
    </row>
    <row r="512" spans="1:10" x14ac:dyDescent="0.25">
      <c r="A512" s="26">
        <v>5</v>
      </c>
      <c r="B512" s="26">
        <v>8</v>
      </c>
      <c r="C512" s="26">
        <v>0.4</v>
      </c>
      <c r="D512" s="26">
        <v>2</v>
      </c>
      <c r="E512" s="26">
        <v>132</v>
      </c>
      <c r="F512" s="26">
        <f t="shared" si="12"/>
        <v>1.5151515151515152E-2</v>
      </c>
      <c r="I512" s="30"/>
      <c r="J512" s="30"/>
    </row>
    <row r="513" spans="1:10" x14ac:dyDescent="0.25">
      <c r="A513" s="26">
        <v>5</v>
      </c>
      <c r="B513" s="26">
        <v>8</v>
      </c>
      <c r="C513" s="26">
        <v>0.4</v>
      </c>
      <c r="D513" s="26">
        <v>2.5</v>
      </c>
      <c r="E513" s="26">
        <v>165</v>
      </c>
      <c r="F513" s="26">
        <f t="shared" si="12"/>
        <v>1.5151515151515152E-2</v>
      </c>
      <c r="I513" s="30"/>
      <c r="J513" s="30"/>
    </row>
    <row r="514" spans="1:10" x14ac:dyDescent="0.25">
      <c r="A514" s="26">
        <v>5</v>
      </c>
      <c r="B514" s="26">
        <v>8</v>
      </c>
      <c r="C514" s="26">
        <v>0.4</v>
      </c>
      <c r="D514" s="26">
        <v>3</v>
      </c>
      <c r="E514" s="26">
        <v>198</v>
      </c>
      <c r="F514" s="26">
        <f t="shared" si="12"/>
        <v>1.5151515151515152E-2</v>
      </c>
      <c r="I514" s="30"/>
      <c r="J514" s="30"/>
    </row>
    <row r="515" spans="1:10" x14ac:dyDescent="0.25">
      <c r="A515" s="26">
        <v>5</v>
      </c>
      <c r="B515" s="26">
        <v>8</v>
      </c>
      <c r="C515" s="26">
        <v>0.6</v>
      </c>
      <c r="D515" s="26">
        <v>0.5</v>
      </c>
      <c r="E515" s="26">
        <v>34</v>
      </c>
      <c r="F515" s="26">
        <f t="shared" si="12"/>
        <v>1.4705882352941176E-2</v>
      </c>
      <c r="I515" s="30"/>
      <c r="J515" s="30"/>
    </row>
    <row r="516" spans="1:10" x14ac:dyDescent="0.25">
      <c r="A516" s="26">
        <v>5</v>
      </c>
      <c r="B516" s="26">
        <v>8</v>
      </c>
      <c r="C516" s="26">
        <v>0.6</v>
      </c>
      <c r="D516" s="26">
        <v>1</v>
      </c>
      <c r="E516" s="26">
        <v>68</v>
      </c>
      <c r="F516" s="26">
        <f t="shared" si="12"/>
        <v>1.4705882352941176E-2</v>
      </c>
      <c r="I516" s="30"/>
      <c r="J516" s="30"/>
    </row>
    <row r="517" spans="1:10" x14ac:dyDescent="0.25">
      <c r="A517" s="26">
        <v>5</v>
      </c>
      <c r="B517" s="26">
        <v>8</v>
      </c>
      <c r="C517" s="26">
        <v>0.6</v>
      </c>
      <c r="D517" s="26">
        <v>1.5</v>
      </c>
      <c r="E517" s="26">
        <v>102</v>
      </c>
      <c r="F517" s="26">
        <f t="shared" ref="F517:F580" si="13">D517/E517</f>
        <v>1.4705882352941176E-2</v>
      </c>
      <c r="I517" s="30"/>
      <c r="J517" s="30"/>
    </row>
    <row r="518" spans="1:10" x14ac:dyDescent="0.25">
      <c r="A518" s="26">
        <v>5</v>
      </c>
      <c r="B518" s="26">
        <v>8</v>
      </c>
      <c r="C518" s="26">
        <v>0.6</v>
      </c>
      <c r="D518" s="26">
        <v>2</v>
      </c>
      <c r="E518" s="26">
        <v>136</v>
      </c>
      <c r="F518" s="26">
        <f t="shared" si="13"/>
        <v>1.4705882352941176E-2</v>
      </c>
      <c r="I518" s="30"/>
      <c r="J518" s="30"/>
    </row>
    <row r="519" spans="1:10" x14ac:dyDescent="0.25">
      <c r="A519" s="26">
        <v>5</v>
      </c>
      <c r="B519" s="26">
        <v>8</v>
      </c>
      <c r="C519" s="26">
        <v>0.6</v>
      </c>
      <c r="D519" s="26">
        <v>2.5</v>
      </c>
      <c r="E519" s="26">
        <v>170</v>
      </c>
      <c r="F519" s="26">
        <f t="shared" si="13"/>
        <v>1.4705882352941176E-2</v>
      </c>
      <c r="I519" s="30"/>
      <c r="J519" s="30"/>
    </row>
    <row r="520" spans="1:10" x14ac:dyDescent="0.25">
      <c r="A520" s="26">
        <v>5</v>
      </c>
      <c r="B520" s="26">
        <v>8</v>
      </c>
      <c r="C520" s="26">
        <v>0.6</v>
      </c>
      <c r="D520" s="26">
        <v>3</v>
      </c>
      <c r="E520" s="26">
        <v>204</v>
      </c>
      <c r="F520" s="26">
        <f t="shared" si="13"/>
        <v>1.4705882352941176E-2</v>
      </c>
      <c r="I520" s="30"/>
      <c r="J520" s="30"/>
    </row>
    <row r="521" spans="1:10" x14ac:dyDescent="0.25">
      <c r="A521" s="26">
        <v>5</v>
      </c>
      <c r="B521" s="26">
        <v>8</v>
      </c>
      <c r="C521" s="26">
        <v>0.8</v>
      </c>
      <c r="D521" s="26">
        <v>0.5</v>
      </c>
      <c r="E521" s="26">
        <v>35</v>
      </c>
      <c r="F521" s="26">
        <f t="shared" si="13"/>
        <v>1.4285714285714285E-2</v>
      </c>
      <c r="I521" s="30"/>
      <c r="J521" s="30"/>
    </row>
    <row r="522" spans="1:10" x14ac:dyDescent="0.25">
      <c r="A522" s="26">
        <v>5</v>
      </c>
      <c r="B522" s="26">
        <v>8</v>
      </c>
      <c r="C522" s="26">
        <v>0.8</v>
      </c>
      <c r="D522" s="26">
        <v>1</v>
      </c>
      <c r="E522" s="26">
        <v>70</v>
      </c>
      <c r="F522" s="26">
        <f t="shared" si="13"/>
        <v>1.4285714285714285E-2</v>
      </c>
      <c r="I522" s="30"/>
      <c r="J522" s="30"/>
    </row>
    <row r="523" spans="1:10" x14ac:dyDescent="0.25">
      <c r="A523" s="26">
        <v>5</v>
      </c>
      <c r="B523" s="26">
        <v>8</v>
      </c>
      <c r="C523" s="26">
        <v>0.8</v>
      </c>
      <c r="D523" s="26">
        <v>1.5</v>
      </c>
      <c r="E523" s="26">
        <v>105</v>
      </c>
      <c r="F523" s="26">
        <f t="shared" si="13"/>
        <v>1.4285714285714285E-2</v>
      </c>
      <c r="H523" s="30"/>
      <c r="I523" s="30"/>
      <c r="J523" s="30"/>
    </row>
    <row r="524" spans="1:10" x14ac:dyDescent="0.25">
      <c r="A524" s="26">
        <v>5</v>
      </c>
      <c r="B524" s="26">
        <v>8</v>
      </c>
      <c r="C524" s="26">
        <v>0.8</v>
      </c>
      <c r="D524" s="26">
        <v>2</v>
      </c>
      <c r="E524" s="26">
        <v>140</v>
      </c>
      <c r="F524" s="26">
        <f t="shared" si="13"/>
        <v>1.4285714285714285E-2</v>
      </c>
      <c r="H524" s="30"/>
      <c r="I524" s="30"/>
      <c r="J524" s="30"/>
    </row>
    <row r="525" spans="1:10" x14ac:dyDescent="0.25">
      <c r="A525" s="26">
        <v>5</v>
      </c>
      <c r="B525" s="26">
        <v>8</v>
      </c>
      <c r="C525" s="26">
        <v>0.8</v>
      </c>
      <c r="D525" s="26">
        <v>2.5</v>
      </c>
      <c r="E525" s="26">
        <v>175</v>
      </c>
      <c r="F525" s="26">
        <f t="shared" si="13"/>
        <v>1.4285714285714285E-2</v>
      </c>
      <c r="H525" s="30"/>
      <c r="I525" s="30"/>
      <c r="J525" s="30"/>
    </row>
    <row r="526" spans="1:10" x14ac:dyDescent="0.25">
      <c r="A526" s="26">
        <v>5</v>
      </c>
      <c r="B526" s="26">
        <v>8</v>
      </c>
      <c r="C526" s="26">
        <v>0.8</v>
      </c>
      <c r="D526" s="26">
        <v>3</v>
      </c>
      <c r="E526" s="26">
        <v>210</v>
      </c>
      <c r="F526" s="26">
        <f t="shared" si="13"/>
        <v>1.4285714285714285E-2</v>
      </c>
      <c r="H526" s="30"/>
      <c r="I526" s="30"/>
      <c r="J526" s="30"/>
    </row>
    <row r="527" spans="1:10" x14ac:dyDescent="0.25">
      <c r="A527" s="26">
        <v>5</v>
      </c>
      <c r="B527" s="26">
        <v>8</v>
      </c>
      <c r="C527" s="26">
        <v>1</v>
      </c>
      <c r="D527" s="26">
        <v>0.5</v>
      </c>
      <c r="E527" s="26">
        <v>36</v>
      </c>
      <c r="F527" s="26">
        <f t="shared" si="13"/>
        <v>1.3888888888888888E-2</v>
      </c>
      <c r="H527" s="30"/>
      <c r="I527" s="30"/>
      <c r="J527" s="30"/>
    </row>
    <row r="528" spans="1:10" x14ac:dyDescent="0.25">
      <c r="A528" s="26">
        <v>5</v>
      </c>
      <c r="B528" s="26">
        <v>8</v>
      </c>
      <c r="C528" s="26">
        <v>1</v>
      </c>
      <c r="D528" s="26">
        <v>1</v>
      </c>
      <c r="E528" s="26">
        <v>72</v>
      </c>
      <c r="F528" s="26">
        <f t="shared" si="13"/>
        <v>1.3888888888888888E-2</v>
      </c>
      <c r="H528" s="30"/>
      <c r="I528" s="30"/>
      <c r="J528" s="30"/>
    </row>
    <row r="529" spans="1:10" x14ac:dyDescent="0.25">
      <c r="A529" s="26">
        <v>5</v>
      </c>
      <c r="B529" s="26">
        <v>8</v>
      </c>
      <c r="C529" s="26">
        <v>1</v>
      </c>
      <c r="D529" s="26">
        <v>1.5</v>
      </c>
      <c r="E529" s="26">
        <v>108</v>
      </c>
      <c r="F529" s="26">
        <f t="shared" si="13"/>
        <v>1.3888888888888888E-2</v>
      </c>
      <c r="H529" s="30"/>
      <c r="I529" s="30"/>
      <c r="J529" s="30"/>
    </row>
    <row r="530" spans="1:10" x14ac:dyDescent="0.25">
      <c r="A530" s="26">
        <v>5</v>
      </c>
      <c r="B530" s="26">
        <v>8</v>
      </c>
      <c r="C530" s="26">
        <v>1</v>
      </c>
      <c r="D530" s="26">
        <v>2</v>
      </c>
      <c r="E530" s="26">
        <v>144</v>
      </c>
      <c r="F530" s="26">
        <f t="shared" si="13"/>
        <v>1.3888888888888888E-2</v>
      </c>
      <c r="H530" s="30"/>
      <c r="I530" s="30"/>
      <c r="J530" s="30"/>
    </row>
    <row r="531" spans="1:10" x14ac:dyDescent="0.25">
      <c r="A531" s="26">
        <v>5</v>
      </c>
      <c r="B531" s="26">
        <v>8</v>
      </c>
      <c r="C531" s="26">
        <v>1</v>
      </c>
      <c r="D531" s="26">
        <v>2.5</v>
      </c>
      <c r="E531" s="26">
        <v>180</v>
      </c>
      <c r="F531" s="26">
        <f t="shared" si="13"/>
        <v>1.3888888888888888E-2</v>
      </c>
      <c r="H531" s="30"/>
      <c r="I531" s="30"/>
      <c r="J531" s="30"/>
    </row>
    <row r="532" spans="1:10" x14ac:dyDescent="0.25">
      <c r="A532" s="26">
        <v>5</v>
      </c>
      <c r="B532" s="26">
        <v>8</v>
      </c>
      <c r="C532" s="26">
        <v>1</v>
      </c>
      <c r="D532" s="26">
        <v>3</v>
      </c>
      <c r="E532" s="26">
        <v>216</v>
      </c>
      <c r="F532" s="26">
        <f t="shared" si="13"/>
        <v>1.3888888888888888E-2</v>
      </c>
      <c r="H532" s="30"/>
      <c r="I532" s="30"/>
      <c r="J532" s="30"/>
    </row>
    <row r="533" spans="1:10" x14ac:dyDescent="0.25">
      <c r="A533" s="26">
        <v>5</v>
      </c>
      <c r="B533" s="26">
        <v>8</v>
      </c>
      <c r="C533" s="26">
        <v>1.2</v>
      </c>
      <c r="D533" s="26">
        <v>0.5</v>
      </c>
      <c r="E533" s="26">
        <v>37</v>
      </c>
      <c r="F533" s="26">
        <f t="shared" si="13"/>
        <v>1.3513513513513514E-2</v>
      </c>
      <c r="H533" s="30"/>
      <c r="I533" s="30"/>
      <c r="J533" s="30"/>
    </row>
    <row r="534" spans="1:10" x14ac:dyDescent="0.25">
      <c r="A534" s="26">
        <v>5</v>
      </c>
      <c r="B534" s="26">
        <v>8</v>
      </c>
      <c r="C534" s="26">
        <v>1.2</v>
      </c>
      <c r="D534" s="26">
        <v>1</v>
      </c>
      <c r="E534" s="26">
        <v>74</v>
      </c>
      <c r="F534" s="26">
        <f t="shared" si="13"/>
        <v>1.3513513513513514E-2</v>
      </c>
      <c r="H534" s="30"/>
      <c r="I534" s="30"/>
      <c r="J534" s="30"/>
    </row>
    <row r="535" spans="1:10" x14ac:dyDescent="0.25">
      <c r="A535" s="26">
        <v>5</v>
      </c>
      <c r="B535" s="26">
        <v>8</v>
      </c>
      <c r="C535" s="26">
        <v>1.2</v>
      </c>
      <c r="D535" s="26">
        <v>1.5</v>
      </c>
      <c r="E535" s="26">
        <v>111</v>
      </c>
      <c r="F535" s="26">
        <f t="shared" si="13"/>
        <v>1.3513513513513514E-2</v>
      </c>
      <c r="H535" s="30"/>
      <c r="I535" s="30"/>
      <c r="J535" s="30"/>
    </row>
    <row r="536" spans="1:10" x14ac:dyDescent="0.25">
      <c r="A536" s="26">
        <v>5</v>
      </c>
      <c r="B536" s="26">
        <v>8</v>
      </c>
      <c r="C536" s="26">
        <v>1.2</v>
      </c>
      <c r="D536" s="26">
        <v>2</v>
      </c>
      <c r="E536" s="26">
        <v>147</v>
      </c>
      <c r="F536" s="26">
        <f t="shared" si="13"/>
        <v>1.3605442176870748E-2</v>
      </c>
      <c r="H536" s="30"/>
      <c r="I536" s="30"/>
      <c r="J536" s="30"/>
    </row>
    <row r="537" spans="1:10" x14ac:dyDescent="0.25">
      <c r="A537" s="26">
        <v>5</v>
      </c>
      <c r="B537" s="26">
        <v>8</v>
      </c>
      <c r="C537" s="26">
        <v>1.2</v>
      </c>
      <c r="D537" s="26">
        <v>2.5</v>
      </c>
      <c r="E537" s="26">
        <v>184</v>
      </c>
      <c r="F537" s="26">
        <f t="shared" si="13"/>
        <v>1.358695652173913E-2</v>
      </c>
      <c r="H537" s="30"/>
      <c r="I537" s="30"/>
      <c r="J537" s="30"/>
    </row>
    <row r="538" spans="1:10" x14ac:dyDescent="0.25">
      <c r="A538" s="26">
        <v>5</v>
      </c>
      <c r="B538" s="26">
        <v>8</v>
      </c>
      <c r="C538" s="26">
        <v>1.2</v>
      </c>
      <c r="D538" s="26">
        <v>3</v>
      </c>
      <c r="E538" s="26">
        <v>221</v>
      </c>
      <c r="F538" s="26">
        <f t="shared" si="13"/>
        <v>1.3574660633484163E-2</v>
      </c>
      <c r="H538" s="30"/>
      <c r="I538" s="30"/>
      <c r="J538" s="30"/>
    </row>
    <row r="539" spans="1:10" x14ac:dyDescent="0.25">
      <c r="A539" s="26">
        <v>5</v>
      </c>
      <c r="B539" s="26">
        <v>8</v>
      </c>
      <c r="C539" s="26">
        <v>1.4</v>
      </c>
      <c r="D539" s="26">
        <v>0.5</v>
      </c>
      <c r="E539" s="26">
        <v>38</v>
      </c>
      <c r="F539" s="26">
        <f t="shared" si="13"/>
        <v>1.3157894736842105E-2</v>
      </c>
      <c r="H539" s="30"/>
      <c r="I539" s="30"/>
      <c r="J539" s="30"/>
    </row>
    <row r="540" spans="1:10" x14ac:dyDescent="0.25">
      <c r="A540" s="26">
        <v>5</v>
      </c>
      <c r="B540" s="26">
        <v>8</v>
      </c>
      <c r="C540" s="26">
        <v>1.4</v>
      </c>
      <c r="D540" s="26">
        <v>1</v>
      </c>
      <c r="E540" s="26">
        <v>76</v>
      </c>
      <c r="F540" s="26">
        <f t="shared" si="13"/>
        <v>1.3157894736842105E-2</v>
      </c>
      <c r="H540" s="30"/>
      <c r="I540" s="30"/>
      <c r="J540" s="30"/>
    </row>
    <row r="541" spans="1:10" x14ac:dyDescent="0.25">
      <c r="A541" s="26">
        <v>5</v>
      </c>
      <c r="B541" s="26">
        <v>8</v>
      </c>
      <c r="C541" s="26">
        <v>1.4</v>
      </c>
      <c r="D541" s="26">
        <v>1.5</v>
      </c>
      <c r="E541" s="26">
        <v>114</v>
      </c>
      <c r="F541" s="26">
        <f t="shared" si="13"/>
        <v>1.3157894736842105E-2</v>
      </c>
      <c r="H541" s="30"/>
      <c r="I541" s="30"/>
      <c r="J541" s="30"/>
    </row>
    <row r="542" spans="1:10" x14ac:dyDescent="0.25">
      <c r="A542" s="26">
        <v>5</v>
      </c>
      <c r="B542" s="26">
        <v>8</v>
      </c>
      <c r="C542" s="26">
        <v>1.4</v>
      </c>
      <c r="D542" s="26">
        <v>2</v>
      </c>
      <c r="E542" s="26">
        <v>151</v>
      </c>
      <c r="F542" s="26">
        <f t="shared" si="13"/>
        <v>1.3245033112582781E-2</v>
      </c>
      <c r="H542" s="30"/>
      <c r="I542" s="30"/>
      <c r="J542" s="30"/>
    </row>
    <row r="543" spans="1:10" x14ac:dyDescent="0.25">
      <c r="A543" s="26">
        <v>5</v>
      </c>
      <c r="B543" s="26">
        <v>8</v>
      </c>
      <c r="C543" s="26">
        <v>1.4</v>
      </c>
      <c r="D543" s="26">
        <v>2.5</v>
      </c>
      <c r="E543" s="26">
        <v>189</v>
      </c>
      <c r="F543" s="26">
        <f t="shared" si="13"/>
        <v>1.3227513227513227E-2</v>
      </c>
      <c r="H543" s="30"/>
      <c r="I543" s="30"/>
      <c r="J543" s="30"/>
    </row>
    <row r="544" spans="1:10" x14ac:dyDescent="0.25">
      <c r="A544" s="26">
        <v>5</v>
      </c>
      <c r="B544" s="26">
        <v>8</v>
      </c>
      <c r="C544" s="26">
        <v>1.4</v>
      </c>
      <c r="D544" s="26">
        <v>3</v>
      </c>
      <c r="E544" s="26">
        <v>227</v>
      </c>
      <c r="F544" s="26">
        <f t="shared" si="13"/>
        <v>1.3215859030837005E-2</v>
      </c>
      <c r="H544" s="30"/>
      <c r="I544" s="30"/>
      <c r="J544" s="30"/>
    </row>
    <row r="545" spans="1:10" x14ac:dyDescent="0.25">
      <c r="A545" s="26">
        <v>5</v>
      </c>
      <c r="B545" s="26">
        <v>8</v>
      </c>
      <c r="C545" s="26">
        <v>1.6</v>
      </c>
      <c r="D545" s="26">
        <v>0.5</v>
      </c>
      <c r="E545" s="26">
        <v>39</v>
      </c>
      <c r="F545" s="26">
        <f t="shared" si="13"/>
        <v>1.282051282051282E-2</v>
      </c>
      <c r="H545" s="30"/>
      <c r="I545" s="30"/>
      <c r="J545" s="30"/>
    </row>
    <row r="546" spans="1:10" x14ac:dyDescent="0.25">
      <c r="A546" s="26">
        <v>5</v>
      </c>
      <c r="B546" s="26">
        <v>8</v>
      </c>
      <c r="C546" s="26">
        <v>1.6</v>
      </c>
      <c r="D546" s="26">
        <v>1</v>
      </c>
      <c r="E546" s="26">
        <v>77</v>
      </c>
      <c r="F546" s="26">
        <f t="shared" si="13"/>
        <v>1.2987012987012988E-2</v>
      </c>
      <c r="H546" s="30"/>
      <c r="I546" s="30"/>
      <c r="J546" s="30"/>
    </row>
    <row r="547" spans="1:10" x14ac:dyDescent="0.25">
      <c r="A547" s="26">
        <v>5</v>
      </c>
      <c r="B547" s="26">
        <v>8</v>
      </c>
      <c r="C547" s="26">
        <v>1.6</v>
      </c>
      <c r="D547" s="26">
        <v>1.5</v>
      </c>
      <c r="E547" s="26">
        <v>116</v>
      </c>
      <c r="F547" s="26">
        <f t="shared" si="13"/>
        <v>1.2931034482758621E-2</v>
      </c>
      <c r="H547" s="30"/>
      <c r="I547" s="30"/>
      <c r="J547" s="30"/>
    </row>
    <row r="548" spans="1:10" x14ac:dyDescent="0.25">
      <c r="A548" s="26">
        <v>5</v>
      </c>
      <c r="B548" s="26">
        <v>8</v>
      </c>
      <c r="C548" s="26">
        <v>1.6</v>
      </c>
      <c r="D548" s="26">
        <v>2</v>
      </c>
      <c r="E548" s="26">
        <v>155</v>
      </c>
      <c r="F548" s="26">
        <f t="shared" si="13"/>
        <v>1.2903225806451613E-2</v>
      </c>
      <c r="H548" s="30"/>
      <c r="I548" s="30"/>
      <c r="J548" s="30"/>
    </row>
    <row r="549" spans="1:10" x14ac:dyDescent="0.25">
      <c r="A549" s="26">
        <v>5</v>
      </c>
      <c r="B549" s="26">
        <v>8</v>
      </c>
      <c r="C549" s="26">
        <v>1.6</v>
      </c>
      <c r="D549" s="26">
        <v>2.5</v>
      </c>
      <c r="E549" s="26">
        <v>193</v>
      </c>
      <c r="F549" s="26">
        <f t="shared" si="13"/>
        <v>1.2953367875647668E-2</v>
      </c>
      <c r="H549" s="30"/>
      <c r="I549" s="30"/>
      <c r="J549" s="30"/>
    </row>
    <row r="550" spans="1:10" x14ac:dyDescent="0.25">
      <c r="A550" s="26">
        <v>5</v>
      </c>
      <c r="B550" s="26">
        <v>8</v>
      </c>
      <c r="C550" s="26">
        <v>1.6</v>
      </c>
      <c r="D550" s="26">
        <v>3</v>
      </c>
      <c r="E550" s="26">
        <v>232</v>
      </c>
      <c r="F550" s="26">
        <f t="shared" si="13"/>
        <v>1.2931034482758621E-2</v>
      </c>
      <c r="H550" s="30"/>
      <c r="I550" s="30"/>
      <c r="J550" s="30"/>
    </row>
    <row r="551" spans="1:10" x14ac:dyDescent="0.25">
      <c r="A551" s="26">
        <v>5</v>
      </c>
      <c r="B551" s="26">
        <v>8</v>
      </c>
      <c r="C551" s="26">
        <v>1.8</v>
      </c>
      <c r="D551" s="26">
        <v>0.5</v>
      </c>
      <c r="E551" s="26">
        <v>40</v>
      </c>
      <c r="F551" s="26">
        <f t="shared" si="13"/>
        <v>1.2500000000000001E-2</v>
      </c>
      <c r="H551" s="30"/>
      <c r="I551" s="30"/>
      <c r="J551" s="30"/>
    </row>
    <row r="552" spans="1:10" x14ac:dyDescent="0.25">
      <c r="A552" s="26">
        <v>5</v>
      </c>
      <c r="B552" s="26">
        <v>8</v>
      </c>
      <c r="C552" s="26">
        <v>1.8</v>
      </c>
      <c r="D552" s="26">
        <v>1</v>
      </c>
      <c r="E552" s="26">
        <v>79</v>
      </c>
      <c r="F552" s="26">
        <f t="shared" si="13"/>
        <v>1.2658227848101266E-2</v>
      </c>
      <c r="H552" s="30"/>
      <c r="I552" s="30"/>
      <c r="J552" s="30"/>
    </row>
    <row r="553" spans="1:10" x14ac:dyDescent="0.25">
      <c r="A553" s="26">
        <v>5</v>
      </c>
      <c r="B553" s="26">
        <v>8</v>
      </c>
      <c r="C553" s="26">
        <v>1.8</v>
      </c>
      <c r="D553" s="26">
        <v>1.5</v>
      </c>
      <c r="E553" s="26">
        <v>119</v>
      </c>
      <c r="F553" s="26">
        <f t="shared" si="13"/>
        <v>1.2605042016806723E-2</v>
      </c>
      <c r="H553" s="30"/>
      <c r="I553" s="30"/>
      <c r="J553" s="30"/>
    </row>
    <row r="554" spans="1:10" x14ac:dyDescent="0.25">
      <c r="A554" s="26">
        <v>5</v>
      </c>
      <c r="B554" s="26">
        <v>8</v>
      </c>
      <c r="C554" s="26">
        <v>1.8</v>
      </c>
      <c r="D554" s="26">
        <v>2</v>
      </c>
      <c r="E554" s="26">
        <v>159</v>
      </c>
      <c r="F554" s="26">
        <f t="shared" si="13"/>
        <v>1.2578616352201259E-2</v>
      </c>
      <c r="H554" s="30"/>
      <c r="I554" s="30"/>
      <c r="J554" s="30"/>
    </row>
    <row r="555" spans="1:10" x14ac:dyDescent="0.25">
      <c r="A555" s="26">
        <v>5</v>
      </c>
      <c r="B555" s="26">
        <v>8</v>
      </c>
      <c r="C555" s="26">
        <v>1.8</v>
      </c>
      <c r="D555" s="26">
        <v>2.5</v>
      </c>
      <c r="E555" s="26">
        <v>198</v>
      </c>
      <c r="F555" s="26">
        <f t="shared" si="13"/>
        <v>1.2626262626262626E-2</v>
      </c>
      <c r="H555" s="30"/>
      <c r="I555" s="30"/>
      <c r="J555" s="30"/>
    </row>
    <row r="556" spans="1:10" x14ac:dyDescent="0.25">
      <c r="A556" s="26">
        <v>5</v>
      </c>
      <c r="B556" s="26">
        <v>8</v>
      </c>
      <c r="C556" s="26">
        <v>1.8</v>
      </c>
      <c r="D556" s="26">
        <v>3</v>
      </c>
      <c r="E556" s="26">
        <v>238</v>
      </c>
      <c r="F556" s="26">
        <f t="shared" si="13"/>
        <v>1.2605042016806723E-2</v>
      </c>
      <c r="H556" s="30"/>
      <c r="I556" s="30"/>
      <c r="J556" s="30"/>
    </row>
    <row r="557" spans="1:10" x14ac:dyDescent="0.25">
      <c r="A557" s="26">
        <v>5</v>
      </c>
      <c r="B557" s="26">
        <v>8</v>
      </c>
      <c r="C557" s="26">
        <v>2</v>
      </c>
      <c r="D557" s="26">
        <v>0.5</v>
      </c>
      <c r="E557" s="26">
        <v>41</v>
      </c>
      <c r="F557" s="26">
        <f t="shared" si="13"/>
        <v>1.2195121951219513E-2</v>
      </c>
      <c r="H557" s="30"/>
      <c r="I557" s="30"/>
      <c r="J557" s="30"/>
    </row>
    <row r="558" spans="1:10" x14ac:dyDescent="0.25">
      <c r="A558" s="26">
        <v>5</v>
      </c>
      <c r="B558" s="26">
        <v>8</v>
      </c>
      <c r="C558" s="26">
        <v>2</v>
      </c>
      <c r="D558" s="26">
        <v>1</v>
      </c>
      <c r="E558" s="26">
        <v>81</v>
      </c>
      <c r="F558" s="26">
        <f t="shared" si="13"/>
        <v>1.2345679012345678E-2</v>
      </c>
      <c r="H558" s="30"/>
      <c r="I558" s="30"/>
      <c r="J558" s="30"/>
    </row>
    <row r="559" spans="1:10" x14ac:dyDescent="0.25">
      <c r="A559" s="26">
        <v>5</v>
      </c>
      <c r="B559" s="26">
        <v>8</v>
      </c>
      <c r="C559" s="26">
        <v>2</v>
      </c>
      <c r="D559" s="26">
        <v>1.5</v>
      </c>
      <c r="E559" s="26">
        <v>122</v>
      </c>
      <c r="F559" s="26">
        <f t="shared" si="13"/>
        <v>1.2295081967213115E-2</v>
      </c>
      <c r="H559" s="30"/>
      <c r="I559" s="30"/>
      <c r="J559" s="30"/>
    </row>
    <row r="560" spans="1:10" x14ac:dyDescent="0.25">
      <c r="A560" s="26">
        <v>5</v>
      </c>
      <c r="B560" s="26">
        <v>8</v>
      </c>
      <c r="C560" s="26">
        <v>2</v>
      </c>
      <c r="D560" s="26">
        <v>2</v>
      </c>
      <c r="E560" s="26">
        <v>162</v>
      </c>
      <c r="F560" s="26">
        <f t="shared" si="13"/>
        <v>1.2345679012345678E-2</v>
      </c>
      <c r="H560" s="30"/>
      <c r="I560" s="30"/>
      <c r="J560" s="30"/>
    </row>
    <row r="561" spans="1:10" x14ac:dyDescent="0.25">
      <c r="A561" s="26">
        <v>5</v>
      </c>
      <c r="B561" s="26">
        <v>8</v>
      </c>
      <c r="C561" s="26">
        <v>2</v>
      </c>
      <c r="D561" s="26">
        <v>2.5</v>
      </c>
      <c r="E561" s="26">
        <v>203</v>
      </c>
      <c r="F561" s="26">
        <f t="shared" si="13"/>
        <v>1.2315270935960592E-2</v>
      </c>
      <c r="H561" s="30"/>
      <c r="I561" s="30"/>
      <c r="J561" s="30"/>
    </row>
    <row r="562" spans="1:10" x14ac:dyDescent="0.25">
      <c r="A562" s="26">
        <v>5</v>
      </c>
      <c r="B562" s="26">
        <v>8</v>
      </c>
      <c r="C562" s="26">
        <v>2</v>
      </c>
      <c r="D562" s="26">
        <v>3</v>
      </c>
      <c r="E562" s="26">
        <v>243</v>
      </c>
      <c r="F562" s="26">
        <f t="shared" si="13"/>
        <v>1.2345679012345678E-2</v>
      </c>
      <c r="H562" s="30"/>
      <c r="I562" s="30"/>
      <c r="J562" s="30"/>
    </row>
    <row r="563" spans="1:10" x14ac:dyDescent="0.25">
      <c r="A563" s="26">
        <v>5</v>
      </c>
      <c r="B563" s="26">
        <v>8</v>
      </c>
      <c r="C563" s="26">
        <v>2.2000000000000002</v>
      </c>
      <c r="D563" s="26">
        <v>0.5</v>
      </c>
      <c r="E563" s="26">
        <v>41</v>
      </c>
      <c r="F563" s="26">
        <f t="shared" si="13"/>
        <v>1.2195121951219513E-2</v>
      </c>
      <c r="H563" s="30"/>
      <c r="I563" s="30"/>
      <c r="J563" s="30"/>
    </row>
    <row r="564" spans="1:10" x14ac:dyDescent="0.25">
      <c r="A564" s="26">
        <v>5</v>
      </c>
      <c r="B564" s="26">
        <v>8</v>
      </c>
      <c r="C564" s="26">
        <v>2.2000000000000002</v>
      </c>
      <c r="D564" s="26">
        <v>1</v>
      </c>
      <c r="E564" s="26">
        <v>83</v>
      </c>
      <c r="F564" s="26">
        <f t="shared" si="13"/>
        <v>1.2048192771084338E-2</v>
      </c>
      <c r="H564" s="30"/>
      <c r="I564" s="30"/>
      <c r="J564" s="30"/>
    </row>
    <row r="565" spans="1:10" x14ac:dyDescent="0.25">
      <c r="A565" s="26">
        <v>5</v>
      </c>
      <c r="B565" s="26">
        <v>8</v>
      </c>
      <c r="C565" s="26">
        <v>2.2000000000000002</v>
      </c>
      <c r="D565" s="26">
        <v>1.5</v>
      </c>
      <c r="E565" s="26">
        <v>124</v>
      </c>
      <c r="F565" s="26">
        <f t="shared" si="13"/>
        <v>1.2096774193548387E-2</v>
      </c>
      <c r="H565" s="30"/>
      <c r="I565" s="30"/>
      <c r="J565" s="30"/>
    </row>
    <row r="566" spans="1:10" x14ac:dyDescent="0.25">
      <c r="A566" s="26">
        <v>5</v>
      </c>
      <c r="B566" s="26">
        <v>8</v>
      </c>
      <c r="C566" s="26">
        <v>2.2000000000000002</v>
      </c>
      <c r="D566" s="26">
        <v>2</v>
      </c>
      <c r="E566" s="26">
        <v>165</v>
      </c>
      <c r="F566" s="26">
        <f t="shared" si="13"/>
        <v>1.2121212121212121E-2</v>
      </c>
      <c r="H566" s="30"/>
      <c r="I566" s="30"/>
      <c r="J566" s="30"/>
    </row>
    <row r="567" spans="1:10" x14ac:dyDescent="0.25">
      <c r="A567" s="26">
        <v>5</v>
      </c>
      <c r="B567" s="26">
        <v>8</v>
      </c>
      <c r="C567" s="26">
        <v>2.2000000000000002</v>
      </c>
      <c r="D567" s="26">
        <v>2.5</v>
      </c>
      <c r="E567" s="26">
        <v>207</v>
      </c>
      <c r="F567" s="26">
        <f t="shared" si="13"/>
        <v>1.2077294685990338E-2</v>
      </c>
      <c r="H567" s="30"/>
      <c r="I567" s="30"/>
      <c r="J567" s="30"/>
    </row>
    <row r="568" spans="1:10" x14ac:dyDescent="0.25">
      <c r="A568" s="26">
        <v>5</v>
      </c>
      <c r="B568" s="26">
        <v>8</v>
      </c>
      <c r="C568" s="26">
        <v>2.2000000000000002</v>
      </c>
      <c r="D568" s="26">
        <v>3</v>
      </c>
      <c r="E568" s="26">
        <v>248</v>
      </c>
      <c r="F568" s="26">
        <f t="shared" si="13"/>
        <v>1.2096774193548387E-2</v>
      </c>
      <c r="H568" s="30"/>
      <c r="I568" s="30"/>
      <c r="J568" s="30"/>
    </row>
    <row r="569" spans="1:10" x14ac:dyDescent="0.25">
      <c r="A569" s="26">
        <v>5</v>
      </c>
      <c r="B569" s="26">
        <v>8</v>
      </c>
      <c r="C569" s="26">
        <v>2.4</v>
      </c>
      <c r="D569" s="26">
        <v>0.5</v>
      </c>
      <c r="E569" s="26">
        <v>42</v>
      </c>
      <c r="F569" s="26">
        <f t="shared" si="13"/>
        <v>1.1904761904761904E-2</v>
      </c>
      <c r="H569" s="30"/>
      <c r="I569" s="30"/>
      <c r="J569" s="30"/>
    </row>
    <row r="570" spans="1:10" x14ac:dyDescent="0.25">
      <c r="A570" s="26">
        <v>5</v>
      </c>
      <c r="B570" s="26">
        <v>8</v>
      </c>
      <c r="C570" s="26">
        <v>2.4</v>
      </c>
      <c r="D570" s="26">
        <v>1</v>
      </c>
      <c r="E570" s="26">
        <v>84</v>
      </c>
      <c r="F570" s="26">
        <f t="shared" si="13"/>
        <v>1.1904761904761904E-2</v>
      </c>
      <c r="H570" s="30"/>
      <c r="I570" s="30"/>
      <c r="J570" s="30"/>
    </row>
    <row r="571" spans="1:10" x14ac:dyDescent="0.25">
      <c r="A571" s="26">
        <v>5</v>
      </c>
      <c r="B571" s="26">
        <v>8</v>
      </c>
      <c r="C571" s="26">
        <v>2.4</v>
      </c>
      <c r="D571" s="26">
        <v>1.5</v>
      </c>
      <c r="E571" s="26">
        <v>127</v>
      </c>
      <c r="F571" s="26">
        <f t="shared" si="13"/>
        <v>1.1811023622047244E-2</v>
      </c>
      <c r="H571" s="30"/>
      <c r="I571" s="30"/>
      <c r="J571" s="30"/>
    </row>
    <row r="572" spans="1:10" x14ac:dyDescent="0.25">
      <c r="A572" s="26">
        <v>5</v>
      </c>
      <c r="B572" s="26">
        <v>8</v>
      </c>
      <c r="C572" s="26">
        <v>2.4</v>
      </c>
      <c r="D572" s="26">
        <v>2</v>
      </c>
      <c r="E572" s="26">
        <v>169</v>
      </c>
      <c r="F572" s="26">
        <f t="shared" si="13"/>
        <v>1.1834319526627219E-2</v>
      </c>
      <c r="H572" s="30"/>
      <c r="I572" s="30"/>
      <c r="J572" s="30"/>
    </row>
    <row r="573" spans="1:10" x14ac:dyDescent="0.25">
      <c r="A573" s="26">
        <v>5</v>
      </c>
      <c r="B573" s="26">
        <v>8</v>
      </c>
      <c r="C573" s="26">
        <v>2.4</v>
      </c>
      <c r="D573" s="26">
        <v>2.5</v>
      </c>
      <c r="E573" s="26">
        <v>211</v>
      </c>
      <c r="F573" s="26">
        <f t="shared" si="13"/>
        <v>1.1848341232227487E-2</v>
      </c>
      <c r="H573" s="30"/>
      <c r="I573" s="30"/>
      <c r="J573" s="30"/>
    </row>
    <row r="574" spans="1:10" x14ac:dyDescent="0.25">
      <c r="A574" s="26">
        <v>5</v>
      </c>
      <c r="B574" s="26">
        <v>8</v>
      </c>
      <c r="C574" s="26">
        <v>2.4</v>
      </c>
      <c r="D574" s="26">
        <v>3</v>
      </c>
      <c r="E574" s="26">
        <v>253</v>
      </c>
      <c r="F574" s="26">
        <f t="shared" si="13"/>
        <v>1.1857707509881422E-2</v>
      </c>
      <c r="H574" s="30"/>
      <c r="I574" s="30"/>
      <c r="J574" s="30"/>
    </row>
    <row r="575" spans="1:10" x14ac:dyDescent="0.25">
      <c r="A575" s="26">
        <v>5</v>
      </c>
      <c r="B575" s="26">
        <v>8</v>
      </c>
      <c r="C575" s="26">
        <v>2.6</v>
      </c>
      <c r="D575" s="26">
        <v>0.5</v>
      </c>
      <c r="E575" s="26">
        <v>43</v>
      </c>
      <c r="F575" s="26">
        <f t="shared" si="13"/>
        <v>1.1627906976744186E-2</v>
      </c>
      <c r="H575" s="30"/>
      <c r="I575" s="30"/>
      <c r="J575" s="30"/>
    </row>
    <row r="576" spans="1:10" x14ac:dyDescent="0.25">
      <c r="A576" s="26">
        <v>5</v>
      </c>
      <c r="B576" s="26">
        <v>8</v>
      </c>
      <c r="C576" s="26">
        <v>2.6</v>
      </c>
      <c r="D576" s="26">
        <v>1</v>
      </c>
      <c r="E576" s="26">
        <v>86</v>
      </c>
      <c r="F576" s="26">
        <f t="shared" si="13"/>
        <v>1.1627906976744186E-2</v>
      </c>
      <c r="H576" s="30"/>
      <c r="I576" s="30"/>
      <c r="J576" s="30"/>
    </row>
    <row r="577" spans="1:10" x14ac:dyDescent="0.25">
      <c r="A577" s="26">
        <v>5</v>
      </c>
      <c r="B577" s="26">
        <v>8</v>
      </c>
      <c r="C577" s="26">
        <v>2.6</v>
      </c>
      <c r="D577" s="26">
        <v>1.5</v>
      </c>
      <c r="E577" s="26">
        <v>129</v>
      </c>
      <c r="F577" s="26">
        <f t="shared" si="13"/>
        <v>1.1627906976744186E-2</v>
      </c>
      <c r="H577" s="30"/>
      <c r="I577" s="30"/>
      <c r="J577" s="30"/>
    </row>
    <row r="578" spans="1:10" x14ac:dyDescent="0.25">
      <c r="A578" s="26">
        <v>5</v>
      </c>
      <c r="B578" s="26">
        <v>8</v>
      </c>
      <c r="C578" s="26">
        <v>2.6</v>
      </c>
      <c r="D578" s="26">
        <v>2</v>
      </c>
      <c r="E578" s="26">
        <v>172</v>
      </c>
      <c r="F578" s="26">
        <f t="shared" si="13"/>
        <v>1.1627906976744186E-2</v>
      </c>
      <c r="H578" s="30"/>
      <c r="I578" s="30"/>
      <c r="J578" s="30"/>
    </row>
    <row r="579" spans="1:10" x14ac:dyDescent="0.25">
      <c r="A579" s="26">
        <v>5</v>
      </c>
      <c r="B579" s="26">
        <v>8</v>
      </c>
      <c r="C579" s="26">
        <v>2.6</v>
      </c>
      <c r="D579" s="26">
        <v>2.5</v>
      </c>
      <c r="E579" s="26">
        <v>215</v>
      </c>
      <c r="F579" s="26">
        <f t="shared" si="13"/>
        <v>1.1627906976744186E-2</v>
      </c>
      <c r="H579" s="30"/>
      <c r="I579" s="30"/>
      <c r="J579" s="30"/>
    </row>
    <row r="580" spans="1:10" x14ac:dyDescent="0.25">
      <c r="A580" s="26">
        <v>5</v>
      </c>
      <c r="B580" s="26">
        <v>8</v>
      </c>
      <c r="C580" s="26">
        <v>2.6</v>
      </c>
      <c r="D580" s="26">
        <v>3</v>
      </c>
      <c r="E580" s="26">
        <v>258</v>
      </c>
      <c r="F580" s="26">
        <f t="shared" si="13"/>
        <v>1.1627906976744186E-2</v>
      </c>
      <c r="H580" s="30"/>
      <c r="I580" s="30"/>
      <c r="J580" s="30"/>
    </row>
    <row r="581" spans="1:10" x14ac:dyDescent="0.25">
      <c r="A581" s="26">
        <v>5</v>
      </c>
      <c r="B581" s="26">
        <v>8</v>
      </c>
      <c r="C581" s="26">
        <v>2.8</v>
      </c>
      <c r="D581" s="26">
        <v>0.5</v>
      </c>
      <c r="E581" s="26">
        <v>44</v>
      </c>
      <c r="F581" s="26">
        <f t="shared" ref="F581:F644" si="14">D581/E581</f>
        <v>1.1363636363636364E-2</v>
      </c>
      <c r="H581" s="30"/>
      <c r="I581" s="30"/>
      <c r="J581" s="30"/>
    </row>
    <row r="582" spans="1:10" x14ac:dyDescent="0.25">
      <c r="A582" s="26">
        <v>5</v>
      </c>
      <c r="B582" s="26">
        <v>8</v>
      </c>
      <c r="C582" s="26">
        <v>2.8</v>
      </c>
      <c r="D582" s="26">
        <v>1</v>
      </c>
      <c r="E582" s="26">
        <v>88</v>
      </c>
      <c r="F582" s="26">
        <f t="shared" si="14"/>
        <v>1.1363636363636364E-2</v>
      </c>
      <c r="H582" s="30"/>
      <c r="I582" s="30"/>
      <c r="J582" s="30"/>
    </row>
    <row r="583" spans="1:10" x14ac:dyDescent="0.25">
      <c r="A583" s="26">
        <v>5</v>
      </c>
      <c r="B583" s="26">
        <v>8</v>
      </c>
      <c r="C583" s="26">
        <v>2.8</v>
      </c>
      <c r="D583" s="26">
        <v>1.5</v>
      </c>
      <c r="E583" s="26">
        <v>132</v>
      </c>
      <c r="F583" s="26">
        <f t="shared" si="14"/>
        <v>1.1363636363636364E-2</v>
      </c>
      <c r="H583" s="30"/>
      <c r="I583" s="30"/>
      <c r="J583" s="30"/>
    </row>
    <row r="584" spans="1:10" x14ac:dyDescent="0.25">
      <c r="A584" s="26">
        <v>5</v>
      </c>
      <c r="B584" s="26">
        <v>8</v>
      </c>
      <c r="C584" s="26">
        <v>2.8</v>
      </c>
      <c r="D584" s="26">
        <v>2</v>
      </c>
      <c r="E584" s="26">
        <v>175</v>
      </c>
      <c r="F584" s="26">
        <f t="shared" si="14"/>
        <v>1.1428571428571429E-2</v>
      </c>
      <c r="H584" s="30"/>
      <c r="I584" s="30"/>
      <c r="J584" s="30"/>
    </row>
    <row r="585" spans="1:10" x14ac:dyDescent="0.25">
      <c r="A585" s="26">
        <v>5</v>
      </c>
      <c r="B585" s="26">
        <v>8</v>
      </c>
      <c r="C585" s="26">
        <v>2.8</v>
      </c>
      <c r="D585" s="26">
        <v>2.5</v>
      </c>
      <c r="E585" s="26">
        <v>219</v>
      </c>
      <c r="F585" s="26">
        <f t="shared" si="14"/>
        <v>1.1415525114155251E-2</v>
      </c>
      <c r="H585" s="30"/>
      <c r="I585" s="30"/>
      <c r="J585" s="30"/>
    </row>
    <row r="586" spans="1:10" x14ac:dyDescent="0.25">
      <c r="A586" s="26">
        <v>5</v>
      </c>
      <c r="B586" s="26">
        <v>8</v>
      </c>
      <c r="C586" s="26">
        <v>2.8</v>
      </c>
      <c r="D586" s="26">
        <v>3</v>
      </c>
      <c r="E586" s="26">
        <v>263</v>
      </c>
      <c r="F586" s="26">
        <f t="shared" si="14"/>
        <v>1.1406844106463879E-2</v>
      </c>
      <c r="H586" s="30"/>
      <c r="I586" s="30"/>
      <c r="J586" s="30"/>
    </row>
    <row r="587" spans="1:10" x14ac:dyDescent="0.25">
      <c r="A587" s="26">
        <v>5</v>
      </c>
      <c r="B587" s="26">
        <v>8</v>
      </c>
      <c r="C587" s="26">
        <v>3</v>
      </c>
      <c r="D587" s="26">
        <v>0.5</v>
      </c>
      <c r="E587" s="26">
        <v>45</v>
      </c>
      <c r="F587" s="26">
        <f t="shared" si="14"/>
        <v>1.1111111111111112E-2</v>
      </c>
      <c r="H587" s="30"/>
      <c r="I587" s="30"/>
      <c r="J587" s="30"/>
    </row>
    <row r="588" spans="1:10" x14ac:dyDescent="0.25">
      <c r="A588" s="26">
        <v>5</v>
      </c>
      <c r="B588" s="26">
        <v>8</v>
      </c>
      <c r="C588" s="26">
        <v>3</v>
      </c>
      <c r="D588" s="26">
        <v>1</v>
      </c>
      <c r="E588" s="26">
        <v>89</v>
      </c>
      <c r="F588" s="26">
        <f t="shared" si="14"/>
        <v>1.1235955056179775E-2</v>
      </c>
      <c r="H588" s="30"/>
      <c r="I588" s="30"/>
      <c r="J588" s="30"/>
    </row>
    <row r="589" spans="1:10" x14ac:dyDescent="0.25">
      <c r="A589" s="26">
        <v>5</v>
      </c>
      <c r="B589" s="26">
        <v>8</v>
      </c>
      <c r="C589" s="26">
        <v>3</v>
      </c>
      <c r="D589" s="26">
        <v>1.5</v>
      </c>
      <c r="E589" s="26">
        <v>134</v>
      </c>
      <c r="F589" s="26">
        <f t="shared" si="14"/>
        <v>1.1194029850746268E-2</v>
      </c>
      <c r="H589" s="30"/>
      <c r="I589" s="30"/>
      <c r="J589" s="30"/>
    </row>
    <row r="590" spans="1:10" x14ac:dyDescent="0.25">
      <c r="A590" s="26">
        <v>5</v>
      </c>
      <c r="B590" s="26">
        <v>8</v>
      </c>
      <c r="C590" s="26">
        <v>3</v>
      </c>
      <c r="D590" s="26">
        <v>2</v>
      </c>
      <c r="E590" s="26">
        <v>179</v>
      </c>
      <c r="F590" s="26">
        <f t="shared" si="14"/>
        <v>1.11731843575419E-2</v>
      </c>
      <c r="H590" s="30"/>
      <c r="I590" s="30"/>
      <c r="J590" s="30"/>
    </row>
    <row r="591" spans="1:10" x14ac:dyDescent="0.25">
      <c r="A591" s="26">
        <v>5</v>
      </c>
      <c r="B591" s="26">
        <v>8</v>
      </c>
      <c r="C591" s="26">
        <v>3</v>
      </c>
      <c r="D591" s="26">
        <v>2.5</v>
      </c>
      <c r="E591" s="26">
        <v>223</v>
      </c>
      <c r="F591" s="26">
        <f t="shared" si="14"/>
        <v>1.1210762331838564E-2</v>
      </c>
      <c r="H591" s="30"/>
      <c r="I591" s="30"/>
      <c r="J591" s="30"/>
    </row>
    <row r="592" spans="1:10" x14ac:dyDescent="0.25">
      <c r="A592" s="73">
        <v>5</v>
      </c>
      <c r="B592" s="26">
        <v>8</v>
      </c>
      <c r="C592" s="73">
        <v>3</v>
      </c>
      <c r="D592" s="73">
        <v>3</v>
      </c>
      <c r="E592" s="26">
        <v>268</v>
      </c>
      <c r="F592" s="26">
        <f t="shared" si="14"/>
        <v>1.1194029850746268E-2</v>
      </c>
      <c r="H592" s="30"/>
      <c r="I592" s="30"/>
      <c r="J592" s="30"/>
    </row>
    <row r="593" spans="1:10" x14ac:dyDescent="0.25">
      <c r="A593" s="26">
        <v>5</v>
      </c>
      <c r="B593" s="26">
        <v>8.5</v>
      </c>
      <c r="C593" s="26">
        <v>0.4</v>
      </c>
      <c r="D593" s="26">
        <v>0.5</v>
      </c>
      <c r="E593" s="26">
        <v>39</v>
      </c>
      <c r="F593" s="26">
        <f t="shared" si="14"/>
        <v>1.282051282051282E-2</v>
      </c>
      <c r="I593" s="30"/>
      <c r="J593" s="30"/>
    </row>
    <row r="594" spans="1:10" x14ac:dyDescent="0.25">
      <c r="A594" s="26">
        <v>5</v>
      </c>
      <c r="B594" s="26">
        <v>8.5</v>
      </c>
      <c r="C594" s="26">
        <v>0.4</v>
      </c>
      <c r="D594" s="26">
        <v>1</v>
      </c>
      <c r="E594" s="26">
        <v>79</v>
      </c>
      <c r="F594" s="26">
        <f t="shared" si="14"/>
        <v>1.2658227848101266E-2</v>
      </c>
      <c r="I594" s="30"/>
      <c r="J594" s="30"/>
    </row>
    <row r="595" spans="1:10" x14ac:dyDescent="0.25">
      <c r="A595" s="26">
        <v>5</v>
      </c>
      <c r="B595" s="26">
        <v>8.5</v>
      </c>
      <c r="C595" s="26">
        <v>0.4</v>
      </c>
      <c r="D595" s="26">
        <v>1.5</v>
      </c>
      <c r="E595" s="26">
        <v>118</v>
      </c>
      <c r="F595" s="26">
        <f t="shared" si="14"/>
        <v>1.2711864406779662E-2</v>
      </c>
      <c r="I595" s="30"/>
      <c r="J595" s="30"/>
    </row>
    <row r="596" spans="1:10" x14ac:dyDescent="0.25">
      <c r="A596" s="26">
        <v>5</v>
      </c>
      <c r="B596" s="26">
        <v>8.5</v>
      </c>
      <c r="C596" s="26">
        <v>0.4</v>
      </c>
      <c r="D596" s="26">
        <v>2</v>
      </c>
      <c r="E596" s="26">
        <v>157</v>
      </c>
      <c r="F596" s="26">
        <f t="shared" si="14"/>
        <v>1.2738853503184714E-2</v>
      </c>
      <c r="I596" s="30"/>
      <c r="J596" s="30"/>
    </row>
    <row r="597" spans="1:10" x14ac:dyDescent="0.25">
      <c r="A597" s="26">
        <v>5</v>
      </c>
      <c r="B597" s="26">
        <v>8.5</v>
      </c>
      <c r="C597" s="26">
        <v>0.4</v>
      </c>
      <c r="D597" s="26">
        <v>2.5</v>
      </c>
      <c r="E597" s="26">
        <v>197</v>
      </c>
      <c r="F597" s="26">
        <f t="shared" si="14"/>
        <v>1.2690355329949238E-2</v>
      </c>
      <c r="I597" s="30"/>
      <c r="J597" s="30"/>
    </row>
    <row r="598" spans="1:10" x14ac:dyDescent="0.25">
      <c r="A598" s="26">
        <v>5</v>
      </c>
      <c r="B598" s="26">
        <v>8.5</v>
      </c>
      <c r="C598" s="26">
        <v>0.4</v>
      </c>
      <c r="D598" s="26">
        <v>3</v>
      </c>
      <c r="E598" s="26">
        <v>236</v>
      </c>
      <c r="F598" s="26">
        <f t="shared" si="14"/>
        <v>1.2711864406779662E-2</v>
      </c>
      <c r="I598" s="30"/>
      <c r="J598" s="30"/>
    </row>
    <row r="599" spans="1:10" x14ac:dyDescent="0.25">
      <c r="A599" s="26">
        <v>5</v>
      </c>
      <c r="B599" s="26">
        <v>8.5</v>
      </c>
      <c r="C599" s="26">
        <v>0.6</v>
      </c>
      <c r="D599" s="26">
        <v>0.5</v>
      </c>
      <c r="E599" s="26">
        <v>41</v>
      </c>
      <c r="F599" s="26">
        <f t="shared" si="14"/>
        <v>1.2195121951219513E-2</v>
      </c>
      <c r="I599" s="30"/>
      <c r="J599" s="30"/>
    </row>
    <row r="600" spans="1:10" x14ac:dyDescent="0.25">
      <c r="A600" s="26">
        <v>5</v>
      </c>
      <c r="B600" s="26">
        <v>8.5</v>
      </c>
      <c r="C600" s="26">
        <v>0.6</v>
      </c>
      <c r="D600" s="26">
        <v>1</v>
      </c>
      <c r="E600" s="26">
        <v>81</v>
      </c>
      <c r="F600" s="26">
        <f t="shared" si="14"/>
        <v>1.2345679012345678E-2</v>
      </c>
      <c r="I600" s="30"/>
      <c r="J600" s="30"/>
    </row>
    <row r="601" spans="1:10" x14ac:dyDescent="0.25">
      <c r="A601" s="26">
        <v>5</v>
      </c>
      <c r="B601" s="26">
        <v>8.5</v>
      </c>
      <c r="C601" s="26">
        <v>0.6</v>
      </c>
      <c r="D601" s="26">
        <v>1.5</v>
      </c>
      <c r="E601" s="26">
        <v>122</v>
      </c>
      <c r="F601" s="26">
        <f t="shared" si="14"/>
        <v>1.2295081967213115E-2</v>
      </c>
      <c r="I601" s="30"/>
      <c r="J601" s="30"/>
    </row>
    <row r="602" spans="1:10" x14ac:dyDescent="0.25">
      <c r="A602" s="26">
        <v>5</v>
      </c>
      <c r="B602" s="26">
        <v>8.5</v>
      </c>
      <c r="C602" s="26">
        <v>0.6</v>
      </c>
      <c r="D602" s="26">
        <v>2</v>
      </c>
      <c r="E602" s="26">
        <v>163</v>
      </c>
      <c r="F602" s="26">
        <f t="shared" si="14"/>
        <v>1.2269938650306749E-2</v>
      </c>
      <c r="I602" s="30"/>
      <c r="J602" s="30"/>
    </row>
    <row r="603" spans="1:10" x14ac:dyDescent="0.25">
      <c r="A603" s="26">
        <v>5</v>
      </c>
      <c r="B603" s="26">
        <v>8.5</v>
      </c>
      <c r="C603" s="26">
        <v>0.6</v>
      </c>
      <c r="D603" s="26">
        <v>2.5</v>
      </c>
      <c r="E603" s="26">
        <v>203</v>
      </c>
      <c r="F603" s="26">
        <f t="shared" si="14"/>
        <v>1.2315270935960592E-2</v>
      </c>
      <c r="I603" s="30"/>
      <c r="J603" s="30"/>
    </row>
    <row r="604" spans="1:10" x14ac:dyDescent="0.25">
      <c r="A604" s="26">
        <v>5</v>
      </c>
      <c r="B604" s="26">
        <v>8.5</v>
      </c>
      <c r="C604" s="26">
        <v>0.6</v>
      </c>
      <c r="D604" s="26">
        <v>3</v>
      </c>
      <c r="E604" s="26">
        <v>244</v>
      </c>
      <c r="F604" s="26">
        <f t="shared" si="14"/>
        <v>1.2295081967213115E-2</v>
      </c>
      <c r="I604" s="30"/>
      <c r="J604" s="30"/>
    </row>
    <row r="605" spans="1:10" x14ac:dyDescent="0.25">
      <c r="A605" s="26">
        <v>5</v>
      </c>
      <c r="B605" s="26">
        <v>8.5</v>
      </c>
      <c r="C605" s="26">
        <v>0.8</v>
      </c>
      <c r="D605" s="26">
        <v>0.5</v>
      </c>
      <c r="E605" s="26">
        <v>42</v>
      </c>
      <c r="F605" s="26">
        <f t="shared" si="14"/>
        <v>1.1904761904761904E-2</v>
      </c>
      <c r="I605" s="30"/>
      <c r="J605" s="30"/>
    </row>
    <row r="606" spans="1:10" x14ac:dyDescent="0.25">
      <c r="A606" s="26">
        <v>5</v>
      </c>
      <c r="B606" s="26">
        <v>8.5</v>
      </c>
      <c r="C606" s="26">
        <v>0.8</v>
      </c>
      <c r="D606" s="26">
        <v>1</v>
      </c>
      <c r="E606" s="26">
        <v>84</v>
      </c>
      <c r="F606" s="26">
        <f t="shared" si="14"/>
        <v>1.1904761904761904E-2</v>
      </c>
      <c r="I606" s="30"/>
      <c r="J606" s="30"/>
    </row>
    <row r="607" spans="1:10" x14ac:dyDescent="0.25">
      <c r="A607" s="26">
        <v>5</v>
      </c>
      <c r="B607" s="26">
        <v>8.5</v>
      </c>
      <c r="C607" s="26">
        <v>0.8</v>
      </c>
      <c r="D607" s="26">
        <v>1.5</v>
      </c>
      <c r="E607" s="26">
        <v>126</v>
      </c>
      <c r="F607" s="26">
        <f t="shared" si="14"/>
        <v>1.1904761904761904E-2</v>
      </c>
      <c r="H607" s="30"/>
      <c r="I607" s="30"/>
      <c r="J607" s="30"/>
    </row>
    <row r="608" spans="1:10" x14ac:dyDescent="0.25">
      <c r="A608" s="26">
        <v>5</v>
      </c>
      <c r="B608" s="26">
        <v>8.5</v>
      </c>
      <c r="C608" s="26">
        <v>0.8</v>
      </c>
      <c r="D608" s="26">
        <v>2</v>
      </c>
      <c r="E608" s="26">
        <v>168</v>
      </c>
      <c r="F608" s="26">
        <f t="shared" si="14"/>
        <v>1.1904761904761904E-2</v>
      </c>
      <c r="H608" s="30"/>
      <c r="I608" s="30"/>
      <c r="J608" s="30"/>
    </row>
    <row r="609" spans="1:10" x14ac:dyDescent="0.25">
      <c r="A609" s="26">
        <v>5</v>
      </c>
      <c r="B609" s="26">
        <v>8.5</v>
      </c>
      <c r="C609" s="26">
        <v>0.8</v>
      </c>
      <c r="D609" s="26">
        <v>2.5</v>
      </c>
      <c r="E609" s="26">
        <v>210</v>
      </c>
      <c r="F609" s="26">
        <f t="shared" si="14"/>
        <v>1.1904761904761904E-2</v>
      </c>
      <c r="H609" s="30"/>
      <c r="I609" s="30"/>
      <c r="J609" s="30"/>
    </row>
    <row r="610" spans="1:10" x14ac:dyDescent="0.25">
      <c r="A610" s="26">
        <v>5</v>
      </c>
      <c r="B610" s="26">
        <v>8.5</v>
      </c>
      <c r="C610" s="26">
        <v>0.8</v>
      </c>
      <c r="D610" s="26">
        <v>3</v>
      </c>
      <c r="E610" s="26">
        <v>252</v>
      </c>
      <c r="F610" s="26">
        <f t="shared" si="14"/>
        <v>1.1904761904761904E-2</v>
      </c>
      <c r="H610" s="30"/>
      <c r="I610" s="30"/>
      <c r="J610" s="30"/>
    </row>
    <row r="611" spans="1:10" x14ac:dyDescent="0.25">
      <c r="A611" s="26">
        <v>5</v>
      </c>
      <c r="B611" s="26">
        <v>8.5</v>
      </c>
      <c r="C611" s="26">
        <v>1</v>
      </c>
      <c r="D611" s="26">
        <v>0.5</v>
      </c>
      <c r="E611" s="26">
        <v>43</v>
      </c>
      <c r="F611" s="26">
        <f t="shared" si="14"/>
        <v>1.1627906976744186E-2</v>
      </c>
      <c r="H611" s="30"/>
      <c r="I611" s="30"/>
      <c r="J611" s="30"/>
    </row>
    <row r="612" spans="1:10" x14ac:dyDescent="0.25">
      <c r="A612" s="26">
        <v>5</v>
      </c>
      <c r="B612" s="26">
        <v>8.5</v>
      </c>
      <c r="C612" s="26">
        <v>1</v>
      </c>
      <c r="D612" s="26">
        <v>1</v>
      </c>
      <c r="E612" s="26">
        <v>87</v>
      </c>
      <c r="F612" s="26">
        <f t="shared" si="14"/>
        <v>1.1494252873563218E-2</v>
      </c>
      <c r="H612" s="30"/>
      <c r="I612" s="30"/>
      <c r="J612" s="30"/>
    </row>
    <row r="613" spans="1:10" x14ac:dyDescent="0.25">
      <c r="A613" s="26">
        <v>5</v>
      </c>
      <c r="B613" s="26">
        <v>8.5</v>
      </c>
      <c r="C613" s="26">
        <v>1</v>
      </c>
      <c r="D613" s="26">
        <v>1.5</v>
      </c>
      <c r="E613" s="26">
        <v>130</v>
      </c>
      <c r="F613" s="26">
        <f t="shared" si="14"/>
        <v>1.1538461538461539E-2</v>
      </c>
      <c r="H613" s="30"/>
      <c r="I613" s="30"/>
      <c r="J613" s="30"/>
    </row>
    <row r="614" spans="1:10" x14ac:dyDescent="0.25">
      <c r="A614" s="26">
        <v>5</v>
      </c>
      <c r="B614" s="26">
        <v>8.5</v>
      </c>
      <c r="C614" s="26">
        <v>1</v>
      </c>
      <c r="D614" s="26">
        <v>2</v>
      </c>
      <c r="E614" s="26">
        <v>173</v>
      </c>
      <c r="F614" s="26">
        <f t="shared" si="14"/>
        <v>1.1560693641618497E-2</v>
      </c>
      <c r="H614" s="30"/>
      <c r="I614" s="30"/>
      <c r="J614" s="30"/>
    </row>
    <row r="615" spans="1:10" x14ac:dyDescent="0.25">
      <c r="A615" s="26">
        <v>5</v>
      </c>
      <c r="B615" s="26">
        <v>8.5</v>
      </c>
      <c r="C615" s="26">
        <v>1</v>
      </c>
      <c r="D615" s="26">
        <v>2.5</v>
      </c>
      <c r="E615" s="26">
        <v>217</v>
      </c>
      <c r="F615" s="26">
        <f t="shared" si="14"/>
        <v>1.1520737327188941E-2</v>
      </c>
      <c r="H615" s="30"/>
      <c r="I615" s="30"/>
      <c r="J615" s="30"/>
    </row>
    <row r="616" spans="1:10" x14ac:dyDescent="0.25">
      <c r="A616" s="26">
        <v>5</v>
      </c>
      <c r="B616" s="26">
        <v>8.5</v>
      </c>
      <c r="C616" s="26">
        <v>1</v>
      </c>
      <c r="D616" s="26">
        <v>3</v>
      </c>
      <c r="E616" s="26">
        <v>260</v>
      </c>
      <c r="F616" s="26">
        <f t="shared" si="14"/>
        <v>1.1538461538461539E-2</v>
      </c>
      <c r="H616" s="30"/>
      <c r="I616" s="30"/>
      <c r="J616" s="30"/>
    </row>
    <row r="617" spans="1:10" x14ac:dyDescent="0.25">
      <c r="A617" s="26">
        <v>5</v>
      </c>
      <c r="B617" s="26">
        <v>8.5</v>
      </c>
      <c r="C617" s="26">
        <v>1.2</v>
      </c>
      <c r="D617" s="26">
        <v>0.5</v>
      </c>
      <c r="E617" s="26">
        <v>45</v>
      </c>
      <c r="F617" s="26">
        <f t="shared" si="14"/>
        <v>1.1111111111111112E-2</v>
      </c>
      <c r="H617" s="30"/>
      <c r="I617" s="30"/>
      <c r="J617" s="30"/>
    </row>
    <row r="618" spans="1:10" x14ac:dyDescent="0.25">
      <c r="A618" s="26">
        <v>5</v>
      </c>
      <c r="B618" s="26">
        <v>8.5</v>
      </c>
      <c r="C618" s="26">
        <v>1.2</v>
      </c>
      <c r="D618" s="26">
        <v>1</v>
      </c>
      <c r="E618" s="26">
        <v>89</v>
      </c>
      <c r="F618" s="26">
        <f t="shared" si="14"/>
        <v>1.1235955056179775E-2</v>
      </c>
      <c r="H618" s="30"/>
      <c r="I618" s="30"/>
      <c r="J618" s="30"/>
    </row>
    <row r="619" spans="1:10" x14ac:dyDescent="0.25">
      <c r="A619" s="26">
        <v>5</v>
      </c>
      <c r="B619" s="26">
        <v>8.5</v>
      </c>
      <c r="C619" s="26">
        <v>1.2</v>
      </c>
      <c r="D619" s="26">
        <v>1.5</v>
      </c>
      <c r="E619" s="26">
        <v>134</v>
      </c>
      <c r="F619" s="26">
        <f t="shared" si="14"/>
        <v>1.1194029850746268E-2</v>
      </c>
      <c r="H619" s="30"/>
      <c r="I619" s="30"/>
      <c r="J619" s="30"/>
    </row>
    <row r="620" spans="1:10" x14ac:dyDescent="0.25">
      <c r="A620" s="26">
        <v>5</v>
      </c>
      <c r="B620" s="26">
        <v>8.5</v>
      </c>
      <c r="C620" s="26">
        <v>1.2</v>
      </c>
      <c r="D620" s="26">
        <v>2</v>
      </c>
      <c r="E620" s="26">
        <v>178</v>
      </c>
      <c r="F620" s="26">
        <f t="shared" si="14"/>
        <v>1.1235955056179775E-2</v>
      </c>
      <c r="H620" s="30"/>
      <c r="I620" s="30"/>
      <c r="J620" s="30"/>
    </row>
    <row r="621" spans="1:10" x14ac:dyDescent="0.25">
      <c r="A621" s="26">
        <v>5</v>
      </c>
      <c r="B621" s="26">
        <v>8.5</v>
      </c>
      <c r="C621" s="26">
        <v>1.2</v>
      </c>
      <c r="D621" s="26">
        <v>2.5</v>
      </c>
      <c r="E621" s="26">
        <v>223</v>
      </c>
      <c r="F621" s="26">
        <f t="shared" si="14"/>
        <v>1.1210762331838564E-2</v>
      </c>
      <c r="H621" s="30"/>
      <c r="I621" s="30"/>
      <c r="J621" s="30"/>
    </row>
    <row r="622" spans="1:10" x14ac:dyDescent="0.25">
      <c r="A622" s="26">
        <v>5</v>
      </c>
      <c r="B622" s="26">
        <v>8.5</v>
      </c>
      <c r="C622" s="26">
        <v>1.2</v>
      </c>
      <c r="D622" s="26">
        <v>3</v>
      </c>
      <c r="E622" s="26">
        <v>267</v>
      </c>
      <c r="F622" s="26">
        <f t="shared" si="14"/>
        <v>1.1235955056179775E-2</v>
      </c>
      <c r="H622" s="30"/>
      <c r="I622" s="30"/>
      <c r="J622" s="30"/>
    </row>
    <row r="623" spans="1:10" x14ac:dyDescent="0.25">
      <c r="A623" s="26">
        <v>5</v>
      </c>
      <c r="B623" s="26">
        <v>8.5</v>
      </c>
      <c r="C623" s="26">
        <v>1.4</v>
      </c>
      <c r="D623" s="26">
        <v>0.5</v>
      </c>
      <c r="E623" s="26">
        <v>46</v>
      </c>
      <c r="F623" s="26">
        <f t="shared" si="14"/>
        <v>1.0869565217391304E-2</v>
      </c>
      <c r="H623" s="30"/>
      <c r="I623" s="30"/>
      <c r="J623" s="30"/>
    </row>
    <row r="624" spans="1:10" x14ac:dyDescent="0.25">
      <c r="A624" s="26">
        <v>5</v>
      </c>
      <c r="B624" s="26">
        <v>8.5</v>
      </c>
      <c r="C624" s="26">
        <v>1.4</v>
      </c>
      <c r="D624" s="26">
        <v>1</v>
      </c>
      <c r="E624" s="26">
        <v>91</v>
      </c>
      <c r="F624" s="26">
        <f t="shared" si="14"/>
        <v>1.098901098901099E-2</v>
      </c>
      <c r="H624" s="30"/>
      <c r="I624" s="30"/>
      <c r="J624" s="30"/>
    </row>
    <row r="625" spans="1:10" x14ac:dyDescent="0.25">
      <c r="A625" s="26">
        <v>5</v>
      </c>
      <c r="B625" s="26">
        <v>8.5</v>
      </c>
      <c r="C625" s="26">
        <v>1.4</v>
      </c>
      <c r="D625" s="26">
        <v>1.5</v>
      </c>
      <c r="E625" s="26">
        <v>137</v>
      </c>
      <c r="F625" s="26">
        <f t="shared" si="14"/>
        <v>1.0948905109489052E-2</v>
      </c>
      <c r="H625" s="30"/>
      <c r="I625" s="30"/>
      <c r="J625" s="30"/>
    </row>
    <row r="626" spans="1:10" x14ac:dyDescent="0.25">
      <c r="A626" s="26">
        <v>5</v>
      </c>
      <c r="B626" s="26">
        <v>8.5</v>
      </c>
      <c r="C626" s="26">
        <v>1.4</v>
      </c>
      <c r="D626" s="26">
        <v>2</v>
      </c>
      <c r="E626" s="26">
        <v>183</v>
      </c>
      <c r="F626" s="26">
        <f t="shared" si="14"/>
        <v>1.092896174863388E-2</v>
      </c>
      <c r="H626" s="30"/>
      <c r="I626" s="30"/>
      <c r="J626" s="30"/>
    </row>
    <row r="627" spans="1:10" x14ac:dyDescent="0.25">
      <c r="A627" s="26">
        <v>5</v>
      </c>
      <c r="B627" s="26">
        <v>8.5</v>
      </c>
      <c r="C627" s="26">
        <v>1.4</v>
      </c>
      <c r="D627" s="26">
        <v>2.5</v>
      </c>
      <c r="E627" s="26">
        <v>228</v>
      </c>
      <c r="F627" s="26">
        <f t="shared" si="14"/>
        <v>1.0964912280701754E-2</v>
      </c>
      <c r="H627" s="30"/>
      <c r="I627" s="30"/>
      <c r="J627" s="30"/>
    </row>
    <row r="628" spans="1:10" x14ac:dyDescent="0.25">
      <c r="A628" s="26">
        <v>5</v>
      </c>
      <c r="B628" s="26">
        <v>8.5</v>
      </c>
      <c r="C628" s="26">
        <v>1.4</v>
      </c>
      <c r="D628" s="26">
        <v>3</v>
      </c>
      <c r="E628" s="26">
        <v>274</v>
      </c>
      <c r="F628" s="26">
        <f t="shared" si="14"/>
        <v>1.0948905109489052E-2</v>
      </c>
      <c r="H628" s="30"/>
      <c r="I628" s="30"/>
      <c r="J628" s="30"/>
    </row>
    <row r="629" spans="1:10" x14ac:dyDescent="0.25">
      <c r="A629" s="26">
        <v>5</v>
      </c>
      <c r="B629" s="26">
        <v>8.5</v>
      </c>
      <c r="C629" s="26">
        <v>1.6</v>
      </c>
      <c r="D629" s="26">
        <v>0.5</v>
      </c>
      <c r="E629" s="26">
        <v>47</v>
      </c>
      <c r="F629" s="26">
        <f t="shared" si="14"/>
        <v>1.0638297872340425E-2</v>
      </c>
      <c r="H629" s="30"/>
      <c r="I629" s="30"/>
      <c r="J629" s="30"/>
    </row>
    <row r="630" spans="1:10" x14ac:dyDescent="0.25">
      <c r="A630" s="26">
        <v>5</v>
      </c>
      <c r="B630" s="26">
        <v>8.5</v>
      </c>
      <c r="C630" s="26">
        <v>1.6</v>
      </c>
      <c r="D630" s="26">
        <v>1</v>
      </c>
      <c r="E630" s="26">
        <v>94</v>
      </c>
      <c r="F630" s="26">
        <f t="shared" si="14"/>
        <v>1.0638297872340425E-2</v>
      </c>
      <c r="H630" s="30"/>
      <c r="I630" s="30"/>
      <c r="J630" s="30"/>
    </row>
    <row r="631" spans="1:10" x14ac:dyDescent="0.25">
      <c r="A631" s="26">
        <v>5</v>
      </c>
      <c r="B631" s="26">
        <v>8.5</v>
      </c>
      <c r="C631" s="26">
        <v>1.6</v>
      </c>
      <c r="D631" s="26">
        <v>1.5</v>
      </c>
      <c r="E631" s="26">
        <v>141</v>
      </c>
      <c r="F631" s="26">
        <f t="shared" si="14"/>
        <v>1.0638297872340425E-2</v>
      </c>
      <c r="H631" s="30"/>
      <c r="I631" s="30"/>
      <c r="J631" s="30"/>
    </row>
    <row r="632" spans="1:10" x14ac:dyDescent="0.25">
      <c r="A632" s="26">
        <v>5</v>
      </c>
      <c r="B632" s="26">
        <v>8.5</v>
      </c>
      <c r="C632" s="26">
        <v>1.6</v>
      </c>
      <c r="D632" s="26">
        <v>2</v>
      </c>
      <c r="E632" s="26">
        <v>187</v>
      </c>
      <c r="F632" s="26">
        <f t="shared" si="14"/>
        <v>1.06951871657754E-2</v>
      </c>
      <c r="H632" s="30"/>
      <c r="I632" s="30"/>
      <c r="J632" s="30"/>
    </row>
    <row r="633" spans="1:10" x14ac:dyDescent="0.25">
      <c r="A633" s="26">
        <v>5</v>
      </c>
      <c r="B633" s="26">
        <v>8.5</v>
      </c>
      <c r="C633" s="26">
        <v>1.6</v>
      </c>
      <c r="D633" s="26">
        <v>2.5</v>
      </c>
      <c r="E633" s="26">
        <v>234</v>
      </c>
      <c r="F633" s="26">
        <f t="shared" si="14"/>
        <v>1.0683760683760684E-2</v>
      </c>
      <c r="H633" s="30"/>
      <c r="I633" s="30"/>
      <c r="J633" s="30"/>
    </row>
    <row r="634" spans="1:10" x14ac:dyDescent="0.25">
      <c r="A634" s="26">
        <v>5</v>
      </c>
      <c r="B634" s="26">
        <v>8.5</v>
      </c>
      <c r="C634" s="26">
        <v>1.6</v>
      </c>
      <c r="D634" s="26">
        <v>3</v>
      </c>
      <c r="E634" s="26">
        <v>281</v>
      </c>
      <c r="F634" s="26">
        <f t="shared" si="14"/>
        <v>1.0676156583629894E-2</v>
      </c>
      <c r="H634" s="30"/>
      <c r="I634" s="30"/>
      <c r="J634" s="30"/>
    </row>
    <row r="635" spans="1:10" x14ac:dyDescent="0.25">
      <c r="A635" s="26">
        <v>5</v>
      </c>
      <c r="B635" s="26">
        <v>8.5</v>
      </c>
      <c r="C635" s="26">
        <v>1.8</v>
      </c>
      <c r="D635" s="26">
        <v>0.5</v>
      </c>
      <c r="E635" s="26">
        <v>48</v>
      </c>
      <c r="F635" s="26">
        <f t="shared" si="14"/>
        <v>1.0416666666666666E-2</v>
      </c>
      <c r="H635" s="30"/>
      <c r="I635" s="30"/>
      <c r="J635" s="30"/>
    </row>
    <row r="636" spans="1:10" x14ac:dyDescent="0.25">
      <c r="A636" s="26">
        <v>5</v>
      </c>
      <c r="B636" s="26">
        <v>8.5</v>
      </c>
      <c r="C636" s="26">
        <v>1.8</v>
      </c>
      <c r="D636" s="26">
        <v>1</v>
      </c>
      <c r="E636" s="26">
        <v>96</v>
      </c>
      <c r="F636" s="26">
        <f t="shared" si="14"/>
        <v>1.0416666666666666E-2</v>
      </c>
      <c r="H636" s="30"/>
      <c r="I636" s="30"/>
      <c r="J636" s="30"/>
    </row>
    <row r="637" spans="1:10" x14ac:dyDescent="0.25">
      <c r="A637" s="26">
        <v>5</v>
      </c>
      <c r="B637" s="26">
        <v>8.5</v>
      </c>
      <c r="C637" s="26">
        <v>1.8</v>
      </c>
      <c r="D637" s="26">
        <v>1.5</v>
      </c>
      <c r="E637" s="26">
        <v>144</v>
      </c>
      <c r="F637" s="26">
        <f t="shared" si="14"/>
        <v>1.0416666666666666E-2</v>
      </c>
      <c r="H637" s="30"/>
      <c r="I637" s="30"/>
      <c r="J637" s="30"/>
    </row>
    <row r="638" spans="1:10" x14ac:dyDescent="0.25">
      <c r="A638" s="26">
        <v>5</v>
      </c>
      <c r="B638" s="26">
        <v>8.5</v>
      </c>
      <c r="C638" s="26">
        <v>1.8</v>
      </c>
      <c r="D638" s="26">
        <v>2</v>
      </c>
      <c r="E638" s="26">
        <v>191</v>
      </c>
      <c r="F638" s="26">
        <f t="shared" si="14"/>
        <v>1.0471204188481676E-2</v>
      </c>
      <c r="H638" s="30"/>
      <c r="I638" s="30"/>
      <c r="J638" s="30"/>
    </row>
    <row r="639" spans="1:10" x14ac:dyDescent="0.25">
      <c r="A639" s="26">
        <v>5</v>
      </c>
      <c r="B639" s="26">
        <v>8.5</v>
      </c>
      <c r="C639" s="26">
        <v>1.8</v>
      </c>
      <c r="D639" s="26">
        <v>2.5</v>
      </c>
      <c r="E639" s="26">
        <v>239</v>
      </c>
      <c r="F639" s="26">
        <f t="shared" si="14"/>
        <v>1.0460251046025104E-2</v>
      </c>
      <c r="H639" s="30"/>
      <c r="I639" s="30"/>
      <c r="J639" s="30"/>
    </row>
    <row r="640" spans="1:10" x14ac:dyDescent="0.25">
      <c r="A640" s="26">
        <v>5</v>
      </c>
      <c r="B640" s="26">
        <v>8.5</v>
      </c>
      <c r="C640" s="26">
        <v>1.8</v>
      </c>
      <c r="D640" s="26">
        <v>3</v>
      </c>
      <c r="E640" s="26">
        <v>287</v>
      </c>
      <c r="F640" s="26">
        <f t="shared" si="14"/>
        <v>1.0452961672473868E-2</v>
      </c>
      <c r="H640" s="30"/>
      <c r="I640" s="30"/>
      <c r="J640" s="30"/>
    </row>
    <row r="641" spans="1:10" x14ac:dyDescent="0.25">
      <c r="A641" s="26">
        <v>5</v>
      </c>
      <c r="B641" s="26">
        <v>8.5</v>
      </c>
      <c r="C641" s="26">
        <v>2</v>
      </c>
      <c r="D641" s="26">
        <v>0.5</v>
      </c>
      <c r="E641" s="26">
        <v>49</v>
      </c>
      <c r="F641" s="26">
        <f t="shared" si="14"/>
        <v>1.020408163265306E-2</v>
      </c>
      <c r="H641" s="30"/>
      <c r="I641" s="30"/>
      <c r="J641" s="30"/>
    </row>
    <row r="642" spans="1:10" x14ac:dyDescent="0.25">
      <c r="A642" s="26">
        <v>5</v>
      </c>
      <c r="B642" s="26">
        <v>8.5</v>
      </c>
      <c r="C642" s="26">
        <v>2</v>
      </c>
      <c r="D642" s="26">
        <v>1</v>
      </c>
      <c r="E642" s="26">
        <v>98</v>
      </c>
      <c r="F642" s="26">
        <f t="shared" si="14"/>
        <v>1.020408163265306E-2</v>
      </c>
      <c r="H642" s="30"/>
      <c r="I642" s="30"/>
      <c r="J642" s="30"/>
    </row>
    <row r="643" spans="1:10" x14ac:dyDescent="0.25">
      <c r="A643" s="26">
        <v>5</v>
      </c>
      <c r="B643" s="26">
        <v>8.5</v>
      </c>
      <c r="C643" s="26">
        <v>2</v>
      </c>
      <c r="D643" s="26">
        <v>1.5</v>
      </c>
      <c r="E643" s="26">
        <v>147</v>
      </c>
      <c r="F643" s="26">
        <f t="shared" si="14"/>
        <v>1.020408163265306E-2</v>
      </c>
      <c r="H643" s="30"/>
      <c r="I643" s="30"/>
      <c r="J643" s="30"/>
    </row>
    <row r="644" spans="1:10" x14ac:dyDescent="0.25">
      <c r="A644" s="26">
        <v>5</v>
      </c>
      <c r="B644" s="26">
        <v>8.5</v>
      </c>
      <c r="C644" s="26">
        <v>2</v>
      </c>
      <c r="D644" s="26">
        <v>2</v>
      </c>
      <c r="E644" s="26">
        <v>196</v>
      </c>
      <c r="F644" s="26">
        <f t="shared" si="14"/>
        <v>1.020408163265306E-2</v>
      </c>
      <c r="H644" s="30"/>
      <c r="I644" s="30"/>
      <c r="J644" s="30"/>
    </row>
    <row r="645" spans="1:10" x14ac:dyDescent="0.25">
      <c r="A645" s="26">
        <v>5</v>
      </c>
      <c r="B645" s="26">
        <v>8.5</v>
      </c>
      <c r="C645" s="26">
        <v>2</v>
      </c>
      <c r="D645" s="26">
        <v>2.5</v>
      </c>
      <c r="E645" s="26">
        <v>245</v>
      </c>
      <c r="F645" s="26">
        <f t="shared" ref="F645:F708" si="15">D645/E645</f>
        <v>1.020408163265306E-2</v>
      </c>
      <c r="H645" s="30"/>
      <c r="I645" s="30"/>
      <c r="J645" s="30"/>
    </row>
    <row r="646" spans="1:10" x14ac:dyDescent="0.25">
      <c r="A646" s="26">
        <v>5</v>
      </c>
      <c r="B646" s="26">
        <v>8.5</v>
      </c>
      <c r="C646" s="26">
        <v>2</v>
      </c>
      <c r="D646" s="26">
        <v>3</v>
      </c>
      <c r="E646" s="26">
        <v>294</v>
      </c>
      <c r="F646" s="26">
        <f t="shared" si="15"/>
        <v>1.020408163265306E-2</v>
      </c>
      <c r="H646" s="30"/>
      <c r="I646" s="30"/>
      <c r="J646" s="30"/>
    </row>
    <row r="647" spans="1:10" x14ac:dyDescent="0.25">
      <c r="A647" s="26">
        <v>5</v>
      </c>
      <c r="B647" s="26">
        <v>8.5</v>
      </c>
      <c r="C647" s="26">
        <v>2.2000000000000002</v>
      </c>
      <c r="D647" s="26">
        <v>0.5</v>
      </c>
      <c r="E647" s="26">
        <v>50</v>
      </c>
      <c r="F647" s="26">
        <f t="shared" si="15"/>
        <v>0.01</v>
      </c>
      <c r="H647" s="30"/>
      <c r="I647" s="30"/>
      <c r="J647" s="30"/>
    </row>
    <row r="648" spans="1:10" x14ac:dyDescent="0.25">
      <c r="A648" s="26">
        <v>5</v>
      </c>
      <c r="B648" s="26">
        <v>8.5</v>
      </c>
      <c r="C648" s="26">
        <v>2.2000000000000002</v>
      </c>
      <c r="D648" s="26">
        <v>1</v>
      </c>
      <c r="E648" s="26">
        <v>100</v>
      </c>
      <c r="F648" s="26">
        <f t="shared" si="15"/>
        <v>0.01</v>
      </c>
      <c r="H648" s="30"/>
      <c r="I648" s="30"/>
      <c r="J648" s="30"/>
    </row>
    <row r="649" spans="1:10" x14ac:dyDescent="0.25">
      <c r="A649" s="26">
        <v>5</v>
      </c>
      <c r="B649" s="26">
        <v>8.5</v>
      </c>
      <c r="C649" s="26">
        <v>2.2000000000000002</v>
      </c>
      <c r="D649" s="26">
        <v>1.5</v>
      </c>
      <c r="E649" s="26">
        <v>150</v>
      </c>
      <c r="F649" s="26">
        <f t="shared" si="15"/>
        <v>0.01</v>
      </c>
      <c r="H649" s="30"/>
      <c r="I649" s="30"/>
      <c r="J649" s="30"/>
    </row>
    <row r="650" spans="1:10" x14ac:dyDescent="0.25">
      <c r="A650" s="26">
        <v>5</v>
      </c>
      <c r="B650" s="26">
        <v>8.5</v>
      </c>
      <c r="C650" s="26">
        <v>2.2000000000000002</v>
      </c>
      <c r="D650" s="26">
        <v>2</v>
      </c>
      <c r="E650" s="26">
        <v>200</v>
      </c>
      <c r="F650" s="26">
        <f t="shared" si="15"/>
        <v>0.01</v>
      </c>
      <c r="H650" s="30"/>
      <c r="I650" s="30"/>
      <c r="J650" s="30"/>
    </row>
    <row r="651" spans="1:10" x14ac:dyDescent="0.25">
      <c r="A651" s="26">
        <v>5</v>
      </c>
      <c r="B651" s="26">
        <v>8.5</v>
      </c>
      <c r="C651" s="26">
        <v>2.2000000000000002</v>
      </c>
      <c r="D651" s="26">
        <v>2.5</v>
      </c>
      <c r="E651" s="26">
        <v>250</v>
      </c>
      <c r="F651" s="26">
        <f t="shared" si="15"/>
        <v>0.01</v>
      </c>
      <c r="H651" s="30"/>
      <c r="I651" s="30"/>
      <c r="J651" s="30"/>
    </row>
    <row r="652" spans="1:10" x14ac:dyDescent="0.25">
      <c r="A652" s="26">
        <v>5</v>
      </c>
      <c r="B652" s="26">
        <v>8.5</v>
      </c>
      <c r="C652" s="26">
        <v>2.2000000000000002</v>
      </c>
      <c r="D652" s="26">
        <v>3</v>
      </c>
      <c r="E652" s="26">
        <v>300</v>
      </c>
      <c r="F652" s="26">
        <f t="shared" si="15"/>
        <v>0.01</v>
      </c>
      <c r="H652" s="30"/>
      <c r="I652" s="30"/>
      <c r="J652" s="30"/>
    </row>
    <row r="653" spans="1:10" x14ac:dyDescent="0.25">
      <c r="A653" s="26">
        <v>5</v>
      </c>
      <c r="B653" s="26">
        <v>8.5</v>
      </c>
      <c r="C653" s="26">
        <v>2.4</v>
      </c>
      <c r="D653" s="26">
        <v>0.5</v>
      </c>
      <c r="E653" s="26">
        <v>51</v>
      </c>
      <c r="F653" s="26">
        <f t="shared" si="15"/>
        <v>9.8039215686274508E-3</v>
      </c>
      <c r="H653" s="30"/>
      <c r="I653" s="30"/>
      <c r="J653" s="30"/>
    </row>
    <row r="654" spans="1:10" x14ac:dyDescent="0.25">
      <c r="A654" s="26">
        <v>5</v>
      </c>
      <c r="B654" s="26">
        <v>8.5</v>
      </c>
      <c r="C654" s="26">
        <v>2.4</v>
      </c>
      <c r="D654" s="26">
        <v>1</v>
      </c>
      <c r="E654" s="26">
        <v>102</v>
      </c>
      <c r="F654" s="26">
        <f t="shared" si="15"/>
        <v>9.8039215686274508E-3</v>
      </c>
      <c r="H654" s="30"/>
      <c r="I654" s="30"/>
      <c r="J654" s="30"/>
    </row>
    <row r="655" spans="1:10" x14ac:dyDescent="0.25">
      <c r="A655" s="26">
        <v>5</v>
      </c>
      <c r="B655" s="26">
        <v>8.5</v>
      </c>
      <c r="C655" s="26">
        <v>2.4</v>
      </c>
      <c r="D655" s="26">
        <v>1.5</v>
      </c>
      <c r="E655" s="26">
        <v>153</v>
      </c>
      <c r="F655" s="26">
        <f t="shared" si="15"/>
        <v>9.8039215686274508E-3</v>
      </c>
      <c r="H655" s="30"/>
      <c r="I655" s="30"/>
      <c r="J655" s="30"/>
    </row>
    <row r="656" spans="1:10" x14ac:dyDescent="0.25">
      <c r="A656" s="26">
        <v>5</v>
      </c>
      <c r="B656" s="26">
        <v>8.5</v>
      </c>
      <c r="C656" s="26">
        <v>2.4</v>
      </c>
      <c r="D656" s="26">
        <v>2</v>
      </c>
      <c r="E656" s="26">
        <v>204</v>
      </c>
      <c r="F656" s="26">
        <f t="shared" si="15"/>
        <v>9.8039215686274508E-3</v>
      </c>
      <c r="H656" s="30"/>
      <c r="I656" s="30"/>
      <c r="J656" s="30"/>
    </row>
    <row r="657" spans="1:10" x14ac:dyDescent="0.25">
      <c r="A657" s="26">
        <v>5</v>
      </c>
      <c r="B657" s="26">
        <v>8.5</v>
      </c>
      <c r="C657" s="26">
        <v>2.4</v>
      </c>
      <c r="D657" s="26">
        <v>2.5</v>
      </c>
      <c r="E657" s="26">
        <v>255</v>
      </c>
      <c r="F657" s="26">
        <f t="shared" si="15"/>
        <v>9.8039215686274508E-3</v>
      </c>
      <c r="H657" s="30"/>
      <c r="I657" s="30"/>
      <c r="J657" s="30"/>
    </row>
    <row r="658" spans="1:10" x14ac:dyDescent="0.25">
      <c r="A658" s="26">
        <v>5</v>
      </c>
      <c r="B658" s="26">
        <v>8.5</v>
      </c>
      <c r="C658" s="26">
        <v>2.4</v>
      </c>
      <c r="D658" s="26">
        <v>3</v>
      </c>
      <c r="E658" s="26">
        <v>306</v>
      </c>
      <c r="F658" s="26">
        <f t="shared" si="15"/>
        <v>9.8039215686274508E-3</v>
      </c>
      <c r="H658" s="30"/>
      <c r="I658" s="30"/>
      <c r="J658" s="30"/>
    </row>
    <row r="659" spans="1:10" x14ac:dyDescent="0.25">
      <c r="A659" s="26">
        <v>5</v>
      </c>
      <c r="B659" s="26">
        <v>8.5</v>
      </c>
      <c r="C659" s="26">
        <v>2.6</v>
      </c>
      <c r="D659" s="26">
        <v>0.5</v>
      </c>
      <c r="E659" s="26">
        <v>52</v>
      </c>
      <c r="F659" s="26">
        <f t="shared" si="15"/>
        <v>9.6153846153846159E-3</v>
      </c>
      <c r="H659" s="30"/>
      <c r="I659" s="30"/>
      <c r="J659" s="30"/>
    </row>
    <row r="660" spans="1:10" x14ac:dyDescent="0.25">
      <c r="A660" s="26">
        <v>5</v>
      </c>
      <c r="B660" s="26">
        <v>8.5</v>
      </c>
      <c r="C660" s="26">
        <v>2.6</v>
      </c>
      <c r="D660" s="26">
        <v>1</v>
      </c>
      <c r="E660" s="26">
        <v>104</v>
      </c>
      <c r="F660" s="26">
        <f t="shared" si="15"/>
        <v>9.6153846153846159E-3</v>
      </c>
      <c r="H660" s="30"/>
      <c r="I660" s="30"/>
      <c r="J660" s="30"/>
    </row>
    <row r="661" spans="1:10" x14ac:dyDescent="0.25">
      <c r="A661" s="26">
        <v>5</v>
      </c>
      <c r="B661" s="26">
        <v>8.5</v>
      </c>
      <c r="C661" s="26">
        <v>2.6</v>
      </c>
      <c r="D661" s="26">
        <v>1.5</v>
      </c>
      <c r="E661" s="26">
        <v>156</v>
      </c>
      <c r="F661" s="26">
        <f t="shared" si="15"/>
        <v>9.6153846153846159E-3</v>
      </c>
      <c r="H661" s="30"/>
      <c r="I661" s="30"/>
      <c r="J661" s="30"/>
    </row>
    <row r="662" spans="1:10" x14ac:dyDescent="0.25">
      <c r="A662" s="26">
        <v>5</v>
      </c>
      <c r="B662" s="26">
        <v>8.5</v>
      </c>
      <c r="C662" s="26">
        <v>2.6</v>
      </c>
      <c r="D662" s="26">
        <v>2</v>
      </c>
      <c r="E662" s="26">
        <v>208</v>
      </c>
      <c r="F662" s="26">
        <f t="shared" si="15"/>
        <v>9.6153846153846159E-3</v>
      </c>
      <c r="H662" s="30"/>
      <c r="I662" s="30"/>
      <c r="J662" s="30"/>
    </row>
    <row r="663" spans="1:10" x14ac:dyDescent="0.25">
      <c r="A663" s="26">
        <v>5</v>
      </c>
      <c r="B663" s="26">
        <v>8.5</v>
      </c>
      <c r="C663" s="26">
        <v>2.6</v>
      </c>
      <c r="D663" s="26">
        <v>2.5</v>
      </c>
      <c r="E663" s="26">
        <v>260</v>
      </c>
      <c r="F663" s="26">
        <f t="shared" si="15"/>
        <v>9.6153846153846159E-3</v>
      </c>
      <c r="H663" s="30"/>
      <c r="I663" s="30"/>
      <c r="J663" s="30"/>
    </row>
    <row r="664" spans="1:10" x14ac:dyDescent="0.25">
      <c r="A664" s="26">
        <v>5</v>
      </c>
      <c r="B664" s="26">
        <v>8.5</v>
      </c>
      <c r="C664" s="26">
        <v>2.6</v>
      </c>
      <c r="D664" s="26">
        <v>3</v>
      </c>
      <c r="E664" s="26">
        <v>312</v>
      </c>
      <c r="F664" s="26">
        <f t="shared" si="15"/>
        <v>9.6153846153846159E-3</v>
      </c>
      <c r="H664" s="30"/>
      <c r="I664" s="30"/>
      <c r="J664" s="30"/>
    </row>
    <row r="665" spans="1:10" x14ac:dyDescent="0.25">
      <c r="A665" s="26">
        <v>5</v>
      </c>
      <c r="B665" s="26">
        <v>8.5</v>
      </c>
      <c r="C665" s="26">
        <v>2.8</v>
      </c>
      <c r="D665" s="26">
        <v>0.5</v>
      </c>
      <c r="E665" s="26">
        <v>53</v>
      </c>
      <c r="F665" s="26">
        <f t="shared" si="15"/>
        <v>9.433962264150943E-3</v>
      </c>
      <c r="H665" s="30"/>
      <c r="I665" s="30"/>
      <c r="J665" s="30"/>
    </row>
    <row r="666" spans="1:10" x14ac:dyDescent="0.25">
      <c r="A666" s="26">
        <v>5</v>
      </c>
      <c r="B666" s="26">
        <v>8.5</v>
      </c>
      <c r="C666" s="26">
        <v>2.8</v>
      </c>
      <c r="D666" s="26">
        <v>1</v>
      </c>
      <c r="E666" s="26">
        <v>106</v>
      </c>
      <c r="F666" s="26">
        <f t="shared" si="15"/>
        <v>9.433962264150943E-3</v>
      </c>
      <c r="H666" s="30"/>
      <c r="I666" s="30"/>
      <c r="J666" s="30"/>
    </row>
    <row r="667" spans="1:10" x14ac:dyDescent="0.25">
      <c r="A667" s="26">
        <v>5</v>
      </c>
      <c r="B667" s="26">
        <v>8.5</v>
      </c>
      <c r="C667" s="26">
        <v>2.8</v>
      </c>
      <c r="D667" s="26">
        <v>1.5</v>
      </c>
      <c r="E667" s="26">
        <v>159</v>
      </c>
      <c r="F667" s="26">
        <f t="shared" si="15"/>
        <v>9.433962264150943E-3</v>
      </c>
      <c r="G667" s="30"/>
      <c r="H667" s="30"/>
      <c r="I667" s="30"/>
      <c r="J667" s="30"/>
    </row>
    <row r="668" spans="1:10" x14ac:dyDescent="0.25">
      <c r="A668" s="26">
        <v>5</v>
      </c>
      <c r="B668" s="26">
        <v>8.5</v>
      </c>
      <c r="C668" s="26">
        <v>2.8</v>
      </c>
      <c r="D668" s="26">
        <v>2</v>
      </c>
      <c r="E668" s="26">
        <v>212</v>
      </c>
      <c r="F668" s="26">
        <f t="shared" si="15"/>
        <v>9.433962264150943E-3</v>
      </c>
      <c r="G668" s="30"/>
      <c r="H668" s="30"/>
      <c r="I668" s="30"/>
      <c r="J668" s="30"/>
    </row>
    <row r="669" spans="1:10" x14ac:dyDescent="0.25">
      <c r="A669" s="26">
        <v>5</v>
      </c>
      <c r="B669" s="26">
        <v>8.5</v>
      </c>
      <c r="C669" s="26">
        <v>2.8</v>
      </c>
      <c r="D669" s="26">
        <v>2.5</v>
      </c>
      <c r="E669" s="26">
        <v>265</v>
      </c>
      <c r="F669" s="26">
        <f t="shared" si="15"/>
        <v>9.433962264150943E-3</v>
      </c>
      <c r="G669" s="30"/>
      <c r="H669" s="30"/>
      <c r="I669" s="30"/>
      <c r="J669" s="30"/>
    </row>
    <row r="670" spans="1:10" x14ac:dyDescent="0.25">
      <c r="A670" s="26">
        <v>5</v>
      </c>
      <c r="B670" s="26">
        <v>8.5</v>
      </c>
      <c r="C670" s="26">
        <v>2.8</v>
      </c>
      <c r="D670" s="26">
        <v>3</v>
      </c>
      <c r="E670" s="26">
        <v>318</v>
      </c>
      <c r="F670" s="26">
        <f t="shared" si="15"/>
        <v>9.433962264150943E-3</v>
      </c>
      <c r="G670" s="30"/>
      <c r="H670" s="30"/>
      <c r="I670" s="30"/>
      <c r="J670" s="30"/>
    </row>
    <row r="671" spans="1:10" x14ac:dyDescent="0.25">
      <c r="A671" s="26">
        <v>5</v>
      </c>
      <c r="B671" s="26">
        <v>8.5</v>
      </c>
      <c r="C671" s="26">
        <v>3</v>
      </c>
      <c r="D671" s="26">
        <v>0.5</v>
      </c>
      <c r="E671" s="26">
        <v>54</v>
      </c>
      <c r="F671" s="26">
        <f t="shared" si="15"/>
        <v>9.2592592592592587E-3</v>
      </c>
      <c r="G671" s="30"/>
      <c r="H671" s="30"/>
      <c r="I671" s="30"/>
      <c r="J671" s="30"/>
    </row>
    <row r="672" spans="1:10" x14ac:dyDescent="0.25">
      <c r="A672" s="26">
        <v>5</v>
      </c>
      <c r="B672" s="26">
        <v>8.5</v>
      </c>
      <c r="C672" s="26">
        <v>3</v>
      </c>
      <c r="D672" s="26">
        <v>1</v>
      </c>
      <c r="E672" s="26">
        <v>108</v>
      </c>
      <c r="F672" s="26">
        <f t="shared" si="15"/>
        <v>9.2592592592592587E-3</v>
      </c>
      <c r="G672" s="30"/>
      <c r="H672" s="30"/>
      <c r="I672" s="30"/>
      <c r="J672" s="30"/>
    </row>
    <row r="673" spans="1:10" x14ac:dyDescent="0.25">
      <c r="A673" s="26">
        <v>5</v>
      </c>
      <c r="B673" s="26">
        <v>8.5</v>
      </c>
      <c r="C673" s="26">
        <v>3</v>
      </c>
      <c r="D673" s="26">
        <v>1.5</v>
      </c>
      <c r="E673" s="26">
        <v>162</v>
      </c>
      <c r="F673" s="26">
        <f t="shared" si="15"/>
        <v>9.2592592592592587E-3</v>
      </c>
      <c r="G673" s="30"/>
      <c r="H673" s="30"/>
      <c r="I673" s="30"/>
      <c r="J673" s="30"/>
    </row>
    <row r="674" spans="1:10" x14ac:dyDescent="0.25">
      <c r="A674" s="26">
        <v>5</v>
      </c>
      <c r="B674" s="26">
        <v>8.5</v>
      </c>
      <c r="C674" s="26">
        <v>3</v>
      </c>
      <c r="D674" s="26">
        <v>2</v>
      </c>
      <c r="E674" s="26">
        <v>216</v>
      </c>
      <c r="F674" s="26">
        <f t="shared" si="15"/>
        <v>9.2592592592592587E-3</v>
      </c>
      <c r="G674" s="30"/>
      <c r="H674" s="30"/>
      <c r="I674" s="30"/>
      <c r="J674" s="30"/>
    </row>
    <row r="675" spans="1:10" x14ac:dyDescent="0.25">
      <c r="A675" s="26">
        <v>5</v>
      </c>
      <c r="B675" s="26">
        <v>8.5</v>
      </c>
      <c r="C675" s="26">
        <v>3</v>
      </c>
      <c r="D675" s="26">
        <v>2.5</v>
      </c>
      <c r="E675" s="26">
        <v>270</v>
      </c>
      <c r="F675" s="26">
        <f t="shared" si="15"/>
        <v>9.2592592592592587E-3</v>
      </c>
      <c r="G675" s="30"/>
      <c r="H675" s="30"/>
      <c r="I675" s="30"/>
      <c r="J675" s="30"/>
    </row>
    <row r="676" spans="1:10" x14ac:dyDescent="0.25">
      <c r="A676" s="73">
        <v>5</v>
      </c>
      <c r="B676" s="26">
        <v>8.5</v>
      </c>
      <c r="C676" s="73">
        <v>3</v>
      </c>
      <c r="D676" s="73">
        <v>3</v>
      </c>
      <c r="E676" s="26">
        <v>324</v>
      </c>
      <c r="F676" s="26">
        <f t="shared" si="15"/>
        <v>9.2592592592592587E-3</v>
      </c>
      <c r="G676" s="30"/>
      <c r="H676" s="30"/>
      <c r="I676" s="30"/>
      <c r="J676" s="30"/>
    </row>
    <row r="677" spans="1:10" x14ac:dyDescent="0.25">
      <c r="A677" s="26">
        <v>10</v>
      </c>
      <c r="B677" s="26">
        <v>7</v>
      </c>
      <c r="C677" s="26">
        <v>0.4</v>
      </c>
      <c r="D677" s="26">
        <v>0.5</v>
      </c>
      <c r="E677" s="26">
        <v>17</v>
      </c>
      <c r="F677" s="26">
        <f t="shared" si="15"/>
        <v>2.9411764705882353E-2</v>
      </c>
      <c r="G677" s="30"/>
      <c r="H677" s="30"/>
      <c r="I677" s="30"/>
      <c r="J677" s="30"/>
    </row>
    <row r="678" spans="1:10" x14ac:dyDescent="0.25">
      <c r="A678" s="26">
        <v>10</v>
      </c>
      <c r="B678" s="26">
        <v>7</v>
      </c>
      <c r="C678" s="26">
        <v>0.4</v>
      </c>
      <c r="D678" s="26">
        <v>1</v>
      </c>
      <c r="E678" s="26">
        <v>35</v>
      </c>
      <c r="F678" s="26">
        <f t="shared" si="15"/>
        <v>2.8571428571428571E-2</v>
      </c>
      <c r="G678" s="30"/>
      <c r="H678" s="30"/>
      <c r="I678" s="30"/>
      <c r="J678" s="30"/>
    </row>
    <row r="679" spans="1:10" x14ac:dyDescent="0.25">
      <c r="A679" s="26">
        <v>10</v>
      </c>
      <c r="B679" s="26">
        <v>7</v>
      </c>
      <c r="C679" s="26">
        <v>0.4</v>
      </c>
      <c r="D679" s="26">
        <v>1.5</v>
      </c>
      <c r="E679" s="26">
        <v>52</v>
      </c>
      <c r="F679" s="26">
        <f t="shared" si="15"/>
        <v>2.8846153846153848E-2</v>
      </c>
      <c r="G679" s="30"/>
      <c r="H679" s="30"/>
      <c r="I679" s="30"/>
      <c r="J679" s="30"/>
    </row>
    <row r="680" spans="1:10" x14ac:dyDescent="0.25">
      <c r="A680" s="26">
        <v>10</v>
      </c>
      <c r="B680" s="26">
        <v>7</v>
      </c>
      <c r="C680" s="26">
        <v>0.4</v>
      </c>
      <c r="D680" s="26">
        <v>2</v>
      </c>
      <c r="E680" s="26">
        <v>69</v>
      </c>
      <c r="F680" s="26">
        <f t="shared" si="15"/>
        <v>2.8985507246376812E-2</v>
      </c>
      <c r="G680" s="30"/>
      <c r="H680" s="30"/>
      <c r="I680" s="30"/>
      <c r="J680" s="30"/>
    </row>
    <row r="681" spans="1:10" x14ac:dyDescent="0.25">
      <c r="A681" s="26">
        <v>10</v>
      </c>
      <c r="B681" s="26">
        <v>7</v>
      </c>
      <c r="C681" s="26">
        <v>0.4</v>
      </c>
      <c r="D681" s="26">
        <v>2.5</v>
      </c>
      <c r="E681" s="26">
        <v>87</v>
      </c>
      <c r="F681" s="26">
        <f t="shared" si="15"/>
        <v>2.8735632183908046E-2</v>
      </c>
      <c r="G681" s="30"/>
      <c r="H681" s="30"/>
      <c r="I681" s="30"/>
      <c r="J681" s="30"/>
    </row>
    <row r="682" spans="1:10" x14ac:dyDescent="0.25">
      <c r="A682" s="26">
        <v>10</v>
      </c>
      <c r="B682" s="26">
        <v>7</v>
      </c>
      <c r="C682" s="26">
        <v>0.4</v>
      </c>
      <c r="D682" s="26">
        <v>3</v>
      </c>
      <c r="E682" s="26">
        <v>104</v>
      </c>
      <c r="F682" s="26">
        <f t="shared" si="15"/>
        <v>2.8846153846153848E-2</v>
      </c>
      <c r="G682" s="30"/>
      <c r="H682" s="30"/>
      <c r="I682" s="30"/>
      <c r="J682" s="30"/>
    </row>
    <row r="683" spans="1:10" x14ac:dyDescent="0.25">
      <c r="A683" s="26">
        <v>10</v>
      </c>
      <c r="B683" s="26">
        <v>7</v>
      </c>
      <c r="C683" s="26">
        <v>0.6</v>
      </c>
      <c r="D683" s="26">
        <v>0.5</v>
      </c>
      <c r="E683" s="26">
        <v>18</v>
      </c>
      <c r="F683" s="26">
        <f t="shared" si="15"/>
        <v>2.7777777777777776E-2</v>
      </c>
      <c r="G683" s="30"/>
      <c r="H683" s="30"/>
      <c r="I683" s="30"/>
      <c r="J683" s="30"/>
    </row>
    <row r="684" spans="1:10" x14ac:dyDescent="0.25">
      <c r="A684" s="26">
        <v>10</v>
      </c>
      <c r="B684" s="26">
        <v>7</v>
      </c>
      <c r="C684" s="26">
        <v>0.6</v>
      </c>
      <c r="D684" s="26">
        <v>1</v>
      </c>
      <c r="E684" s="26">
        <v>36</v>
      </c>
      <c r="F684" s="26">
        <f t="shared" si="15"/>
        <v>2.7777777777777776E-2</v>
      </c>
      <c r="G684" s="30"/>
      <c r="H684" s="30"/>
      <c r="I684" s="30"/>
      <c r="J684" s="30"/>
    </row>
    <row r="685" spans="1:10" x14ac:dyDescent="0.25">
      <c r="A685" s="26">
        <v>10</v>
      </c>
      <c r="B685" s="26">
        <v>7</v>
      </c>
      <c r="C685" s="26">
        <v>0.6</v>
      </c>
      <c r="D685" s="26">
        <v>1.5</v>
      </c>
      <c r="E685" s="26">
        <v>54</v>
      </c>
      <c r="F685" s="26">
        <f t="shared" si="15"/>
        <v>2.7777777777777776E-2</v>
      </c>
      <c r="G685" s="30"/>
      <c r="H685" s="30"/>
      <c r="I685" s="30"/>
      <c r="J685" s="30"/>
    </row>
    <row r="686" spans="1:10" x14ac:dyDescent="0.25">
      <c r="A686" s="26">
        <v>10</v>
      </c>
      <c r="B686" s="26">
        <v>7</v>
      </c>
      <c r="C686" s="26">
        <v>0.6</v>
      </c>
      <c r="D686" s="26">
        <v>2</v>
      </c>
      <c r="E686" s="26">
        <v>71</v>
      </c>
      <c r="F686" s="26">
        <f t="shared" si="15"/>
        <v>2.8169014084507043E-2</v>
      </c>
      <c r="G686" s="30"/>
      <c r="H686" s="30"/>
      <c r="I686" s="30"/>
      <c r="J686" s="30"/>
    </row>
    <row r="687" spans="1:10" x14ac:dyDescent="0.25">
      <c r="A687" s="26">
        <v>10</v>
      </c>
      <c r="B687" s="26">
        <v>7</v>
      </c>
      <c r="C687" s="26">
        <v>0.6</v>
      </c>
      <c r="D687" s="26">
        <v>2.5</v>
      </c>
      <c r="E687" s="26">
        <v>89</v>
      </c>
      <c r="F687" s="26">
        <f t="shared" si="15"/>
        <v>2.8089887640449437E-2</v>
      </c>
      <c r="G687" s="30"/>
      <c r="H687" s="30"/>
      <c r="I687" s="30"/>
      <c r="J687" s="30"/>
    </row>
    <row r="688" spans="1:10" x14ac:dyDescent="0.25">
      <c r="A688" s="26">
        <v>10</v>
      </c>
      <c r="B688" s="26">
        <v>7</v>
      </c>
      <c r="C688" s="26">
        <v>0.6</v>
      </c>
      <c r="D688" s="26">
        <v>3</v>
      </c>
      <c r="E688" s="26">
        <v>107</v>
      </c>
      <c r="F688" s="26">
        <f t="shared" si="15"/>
        <v>2.8037383177570093E-2</v>
      </c>
      <c r="G688" s="30"/>
      <c r="H688" s="30"/>
      <c r="I688" s="30"/>
      <c r="J688" s="30"/>
    </row>
    <row r="689" spans="1:10" x14ac:dyDescent="0.25">
      <c r="A689" s="26">
        <v>10</v>
      </c>
      <c r="B689" s="26">
        <v>7</v>
      </c>
      <c r="C689" s="26">
        <v>0.8</v>
      </c>
      <c r="D689" s="26">
        <v>0.5</v>
      </c>
      <c r="E689" s="26">
        <v>18</v>
      </c>
      <c r="F689" s="26">
        <f t="shared" si="15"/>
        <v>2.7777777777777776E-2</v>
      </c>
      <c r="G689" s="30"/>
      <c r="H689" s="30"/>
      <c r="I689" s="30"/>
      <c r="J689" s="30"/>
    </row>
    <row r="690" spans="1:10" x14ac:dyDescent="0.25">
      <c r="A690" s="26">
        <v>10</v>
      </c>
      <c r="B690" s="26">
        <v>7</v>
      </c>
      <c r="C690" s="26">
        <v>0.8</v>
      </c>
      <c r="D690" s="26">
        <v>1</v>
      </c>
      <c r="E690" s="26">
        <v>37</v>
      </c>
      <c r="F690" s="26">
        <f t="shared" si="15"/>
        <v>2.7027027027027029E-2</v>
      </c>
      <c r="G690" s="30"/>
      <c r="H690" s="30"/>
      <c r="I690" s="30"/>
      <c r="J690" s="30"/>
    </row>
    <row r="691" spans="1:10" x14ac:dyDescent="0.25">
      <c r="A691" s="26">
        <v>10</v>
      </c>
      <c r="B691" s="26">
        <v>7</v>
      </c>
      <c r="C691" s="26">
        <v>0.8</v>
      </c>
      <c r="D691" s="26">
        <v>1.5</v>
      </c>
      <c r="E691" s="26">
        <v>55</v>
      </c>
      <c r="F691" s="26">
        <f t="shared" si="15"/>
        <v>2.7272727272727271E-2</v>
      </c>
      <c r="G691" s="30"/>
      <c r="H691" s="30"/>
      <c r="I691" s="30"/>
      <c r="J691" s="30"/>
    </row>
    <row r="692" spans="1:10" x14ac:dyDescent="0.25">
      <c r="A692" s="26">
        <v>10</v>
      </c>
      <c r="B692" s="26">
        <v>7</v>
      </c>
      <c r="C692" s="26">
        <v>0.8</v>
      </c>
      <c r="D692" s="26">
        <v>2</v>
      </c>
      <c r="E692" s="26">
        <v>73</v>
      </c>
      <c r="F692" s="26">
        <f t="shared" si="15"/>
        <v>2.7397260273972601E-2</v>
      </c>
      <c r="G692" s="30"/>
      <c r="H692" s="30"/>
      <c r="I692" s="30"/>
      <c r="J692" s="30"/>
    </row>
    <row r="693" spans="1:10" x14ac:dyDescent="0.25">
      <c r="A693" s="26">
        <v>10</v>
      </c>
      <c r="B693" s="26">
        <v>7</v>
      </c>
      <c r="C693" s="26">
        <v>0.8</v>
      </c>
      <c r="D693" s="26">
        <v>2.5</v>
      </c>
      <c r="E693" s="26">
        <v>92</v>
      </c>
      <c r="F693" s="26">
        <f t="shared" si="15"/>
        <v>2.717391304347826E-2</v>
      </c>
      <c r="G693" s="30"/>
      <c r="H693" s="30"/>
      <c r="I693" s="30"/>
      <c r="J693" s="30"/>
    </row>
    <row r="694" spans="1:10" x14ac:dyDescent="0.25">
      <c r="A694" s="26">
        <v>10</v>
      </c>
      <c r="B694" s="26">
        <v>7</v>
      </c>
      <c r="C694" s="26">
        <v>0.8</v>
      </c>
      <c r="D694" s="26">
        <v>3</v>
      </c>
      <c r="E694" s="26">
        <v>110</v>
      </c>
      <c r="F694" s="26">
        <f t="shared" si="15"/>
        <v>2.7272727272727271E-2</v>
      </c>
      <c r="G694" s="30"/>
      <c r="H694" s="30"/>
      <c r="I694" s="30"/>
      <c r="J694" s="30"/>
    </row>
    <row r="695" spans="1:10" x14ac:dyDescent="0.25">
      <c r="A695" s="26">
        <v>10</v>
      </c>
      <c r="B695" s="26">
        <v>7</v>
      </c>
      <c r="C695" s="26">
        <v>1</v>
      </c>
      <c r="D695" s="26">
        <v>0.5</v>
      </c>
      <c r="E695" s="26">
        <v>19</v>
      </c>
      <c r="F695" s="26">
        <f t="shared" si="15"/>
        <v>2.6315789473684209E-2</v>
      </c>
      <c r="G695" s="30"/>
      <c r="H695" s="30"/>
      <c r="I695" s="30"/>
      <c r="J695" s="30"/>
    </row>
    <row r="696" spans="1:10" x14ac:dyDescent="0.25">
      <c r="A696" s="26">
        <v>10</v>
      </c>
      <c r="B696" s="26">
        <v>7</v>
      </c>
      <c r="C696" s="26">
        <v>1</v>
      </c>
      <c r="D696" s="26">
        <v>1</v>
      </c>
      <c r="E696" s="26">
        <v>37</v>
      </c>
      <c r="F696" s="26">
        <f t="shared" si="15"/>
        <v>2.7027027027027029E-2</v>
      </c>
      <c r="G696" s="30"/>
      <c r="H696" s="30"/>
      <c r="I696" s="30"/>
      <c r="J696" s="30"/>
    </row>
    <row r="697" spans="1:10" x14ac:dyDescent="0.25">
      <c r="A697" s="26">
        <v>10</v>
      </c>
      <c r="B697" s="26">
        <v>7</v>
      </c>
      <c r="C697" s="26">
        <v>1</v>
      </c>
      <c r="D697" s="26">
        <v>1.5</v>
      </c>
      <c r="E697" s="26">
        <v>56</v>
      </c>
      <c r="F697" s="26">
        <f t="shared" si="15"/>
        <v>2.6785714285714284E-2</v>
      </c>
      <c r="G697" s="30"/>
      <c r="H697" s="30"/>
      <c r="I697" s="30"/>
      <c r="J697" s="30"/>
    </row>
    <row r="698" spans="1:10" x14ac:dyDescent="0.25">
      <c r="A698" s="26">
        <v>10</v>
      </c>
      <c r="B698" s="26">
        <v>7</v>
      </c>
      <c r="C698" s="26">
        <v>1</v>
      </c>
      <c r="D698" s="26">
        <v>2</v>
      </c>
      <c r="E698" s="26">
        <v>75</v>
      </c>
      <c r="F698" s="26">
        <f t="shared" si="15"/>
        <v>2.6666666666666668E-2</v>
      </c>
      <c r="G698" s="30"/>
      <c r="H698" s="30"/>
      <c r="I698" s="30"/>
      <c r="J698" s="30"/>
    </row>
    <row r="699" spans="1:10" x14ac:dyDescent="0.25">
      <c r="A699" s="26">
        <v>10</v>
      </c>
      <c r="B699" s="26">
        <v>7</v>
      </c>
      <c r="C699" s="26">
        <v>1</v>
      </c>
      <c r="D699" s="26">
        <v>2.5</v>
      </c>
      <c r="E699" s="26">
        <v>93</v>
      </c>
      <c r="F699" s="26">
        <f t="shared" si="15"/>
        <v>2.6881720430107527E-2</v>
      </c>
      <c r="G699" s="30"/>
      <c r="H699" s="30"/>
      <c r="I699" s="30"/>
      <c r="J699" s="30"/>
    </row>
    <row r="700" spans="1:10" x14ac:dyDescent="0.25">
      <c r="A700" s="26">
        <v>10</v>
      </c>
      <c r="B700" s="26">
        <v>7</v>
      </c>
      <c r="C700" s="26">
        <v>1</v>
      </c>
      <c r="D700" s="26">
        <v>3</v>
      </c>
      <c r="E700" s="26">
        <v>112</v>
      </c>
      <c r="F700" s="26">
        <f t="shared" si="15"/>
        <v>2.6785714285714284E-2</v>
      </c>
      <c r="G700" s="30"/>
      <c r="H700" s="30"/>
      <c r="I700" s="30"/>
      <c r="J700" s="30"/>
    </row>
    <row r="701" spans="1:10" x14ac:dyDescent="0.25">
      <c r="A701" s="26">
        <v>10</v>
      </c>
      <c r="B701" s="26">
        <v>7</v>
      </c>
      <c r="C701" s="26">
        <v>1.2</v>
      </c>
      <c r="D701" s="26">
        <v>0.5</v>
      </c>
      <c r="E701" s="26">
        <v>19</v>
      </c>
      <c r="F701" s="26">
        <f t="shared" si="15"/>
        <v>2.6315789473684209E-2</v>
      </c>
      <c r="G701" s="30"/>
      <c r="H701" s="30"/>
      <c r="I701" s="30"/>
      <c r="J701" s="30"/>
    </row>
    <row r="702" spans="1:10" x14ac:dyDescent="0.25">
      <c r="A702" s="26">
        <v>10</v>
      </c>
      <c r="B702" s="26">
        <v>7</v>
      </c>
      <c r="C702" s="26">
        <v>1.2</v>
      </c>
      <c r="D702" s="26">
        <v>1</v>
      </c>
      <c r="E702" s="26">
        <v>38</v>
      </c>
      <c r="F702" s="26">
        <f t="shared" si="15"/>
        <v>2.6315789473684209E-2</v>
      </c>
      <c r="G702" s="30"/>
      <c r="H702" s="30"/>
      <c r="I702" s="30"/>
      <c r="J702" s="30"/>
    </row>
    <row r="703" spans="1:10" x14ac:dyDescent="0.25">
      <c r="A703" s="26">
        <v>10</v>
      </c>
      <c r="B703" s="26">
        <v>7</v>
      </c>
      <c r="C703" s="26">
        <v>1.2</v>
      </c>
      <c r="D703" s="26">
        <v>1.5</v>
      </c>
      <c r="E703" s="26">
        <v>57</v>
      </c>
      <c r="F703" s="26">
        <f t="shared" si="15"/>
        <v>2.6315789473684209E-2</v>
      </c>
      <c r="G703" s="30"/>
      <c r="H703" s="30"/>
      <c r="I703" s="30"/>
      <c r="J703" s="30"/>
    </row>
    <row r="704" spans="1:10" x14ac:dyDescent="0.25">
      <c r="A704" s="26">
        <v>10</v>
      </c>
      <c r="B704" s="26">
        <v>7</v>
      </c>
      <c r="C704" s="26">
        <v>1.2</v>
      </c>
      <c r="D704" s="26">
        <v>2</v>
      </c>
      <c r="E704" s="26">
        <v>76</v>
      </c>
      <c r="F704" s="26">
        <f t="shared" si="15"/>
        <v>2.6315789473684209E-2</v>
      </c>
      <c r="G704" s="30"/>
      <c r="H704" s="30"/>
      <c r="I704" s="30"/>
      <c r="J704" s="30"/>
    </row>
    <row r="705" spans="1:10" x14ac:dyDescent="0.25">
      <c r="A705" s="26">
        <v>10</v>
      </c>
      <c r="B705" s="26">
        <v>7</v>
      </c>
      <c r="C705" s="26">
        <v>1.2</v>
      </c>
      <c r="D705" s="26">
        <v>2.5</v>
      </c>
      <c r="E705" s="26">
        <v>95</v>
      </c>
      <c r="F705" s="26">
        <f t="shared" si="15"/>
        <v>2.6315789473684209E-2</v>
      </c>
      <c r="G705" s="30"/>
      <c r="H705" s="30"/>
      <c r="I705" s="30"/>
      <c r="J705" s="30"/>
    </row>
    <row r="706" spans="1:10" x14ac:dyDescent="0.25">
      <c r="A706" s="26">
        <v>10</v>
      </c>
      <c r="B706" s="26">
        <v>7</v>
      </c>
      <c r="C706" s="26">
        <v>1.2</v>
      </c>
      <c r="D706" s="26">
        <v>3</v>
      </c>
      <c r="E706" s="26">
        <v>114</v>
      </c>
      <c r="F706" s="26">
        <f t="shared" si="15"/>
        <v>2.6315789473684209E-2</v>
      </c>
      <c r="G706" s="30"/>
      <c r="H706" s="30"/>
      <c r="I706" s="30"/>
      <c r="J706" s="30"/>
    </row>
    <row r="707" spans="1:10" x14ac:dyDescent="0.25">
      <c r="A707" s="26">
        <v>10</v>
      </c>
      <c r="B707" s="26">
        <v>7</v>
      </c>
      <c r="C707" s="26">
        <v>1.4</v>
      </c>
      <c r="D707" s="26">
        <v>0.5</v>
      </c>
      <c r="E707" s="26">
        <v>19</v>
      </c>
      <c r="F707" s="26">
        <f t="shared" si="15"/>
        <v>2.6315789473684209E-2</v>
      </c>
      <c r="G707" s="30"/>
      <c r="H707" s="30"/>
      <c r="I707" s="30"/>
      <c r="J707" s="30"/>
    </row>
    <row r="708" spans="1:10" x14ac:dyDescent="0.25">
      <c r="A708" s="26">
        <v>10</v>
      </c>
      <c r="B708" s="26">
        <v>7</v>
      </c>
      <c r="C708" s="26">
        <v>1.4</v>
      </c>
      <c r="D708" s="26">
        <v>1</v>
      </c>
      <c r="E708" s="26">
        <v>39</v>
      </c>
      <c r="F708" s="26">
        <f t="shared" si="15"/>
        <v>2.564102564102564E-2</v>
      </c>
      <c r="G708" s="30"/>
      <c r="H708" s="30"/>
      <c r="I708" s="30"/>
      <c r="J708" s="30"/>
    </row>
    <row r="709" spans="1:10" x14ac:dyDescent="0.25">
      <c r="A709" s="26">
        <v>10</v>
      </c>
      <c r="B709" s="26">
        <v>7</v>
      </c>
      <c r="C709" s="26">
        <v>1.4</v>
      </c>
      <c r="D709" s="26">
        <v>1.5</v>
      </c>
      <c r="E709" s="26">
        <v>58</v>
      </c>
      <c r="F709" s="26">
        <f t="shared" ref="F709:F772" si="16">D709/E709</f>
        <v>2.5862068965517241E-2</v>
      </c>
      <c r="G709" s="30"/>
      <c r="H709" s="30"/>
      <c r="I709" s="30"/>
      <c r="J709" s="30"/>
    </row>
    <row r="710" spans="1:10" x14ac:dyDescent="0.25">
      <c r="A710" s="26">
        <v>10</v>
      </c>
      <c r="B710" s="26">
        <v>7</v>
      </c>
      <c r="C710" s="26">
        <v>1.4</v>
      </c>
      <c r="D710" s="26">
        <v>2</v>
      </c>
      <c r="E710" s="26">
        <v>77</v>
      </c>
      <c r="F710" s="26">
        <f t="shared" si="16"/>
        <v>2.5974025974025976E-2</v>
      </c>
      <c r="G710" s="30"/>
      <c r="H710" s="30"/>
      <c r="I710" s="30"/>
      <c r="J710" s="30"/>
    </row>
    <row r="711" spans="1:10" x14ac:dyDescent="0.25">
      <c r="A711" s="26">
        <v>10</v>
      </c>
      <c r="B711" s="26">
        <v>7</v>
      </c>
      <c r="C711" s="26">
        <v>1.4</v>
      </c>
      <c r="D711" s="26">
        <v>2.5</v>
      </c>
      <c r="E711" s="26">
        <v>97</v>
      </c>
      <c r="F711" s="26">
        <f t="shared" si="16"/>
        <v>2.5773195876288658E-2</v>
      </c>
      <c r="G711" s="30"/>
      <c r="H711" s="30"/>
      <c r="I711" s="30"/>
      <c r="J711" s="30"/>
    </row>
    <row r="712" spans="1:10" x14ac:dyDescent="0.25">
      <c r="A712" s="26">
        <v>10</v>
      </c>
      <c r="B712" s="26">
        <v>7</v>
      </c>
      <c r="C712" s="26">
        <v>1.4</v>
      </c>
      <c r="D712" s="26">
        <v>3</v>
      </c>
      <c r="E712" s="26">
        <v>116</v>
      </c>
      <c r="F712" s="26">
        <f t="shared" si="16"/>
        <v>2.5862068965517241E-2</v>
      </c>
      <c r="G712" s="30"/>
      <c r="H712" s="30"/>
      <c r="I712" s="30"/>
      <c r="J712" s="30"/>
    </row>
    <row r="713" spans="1:10" x14ac:dyDescent="0.25">
      <c r="A713" s="26">
        <v>10</v>
      </c>
      <c r="B713" s="26">
        <v>7</v>
      </c>
      <c r="C713" s="26">
        <v>1.6</v>
      </c>
      <c r="D713" s="26">
        <v>0.5</v>
      </c>
      <c r="E713" s="26">
        <v>20</v>
      </c>
      <c r="F713" s="26">
        <f t="shared" si="16"/>
        <v>2.5000000000000001E-2</v>
      </c>
      <c r="G713" s="30"/>
      <c r="H713" s="30"/>
      <c r="I713" s="30"/>
      <c r="J713" s="30"/>
    </row>
    <row r="714" spans="1:10" x14ac:dyDescent="0.25">
      <c r="A714" s="26">
        <v>10</v>
      </c>
      <c r="B714" s="26">
        <v>7</v>
      </c>
      <c r="C714" s="26">
        <v>1.6</v>
      </c>
      <c r="D714" s="26">
        <v>1</v>
      </c>
      <c r="E714" s="26">
        <v>40</v>
      </c>
      <c r="F714" s="26">
        <f t="shared" si="16"/>
        <v>2.5000000000000001E-2</v>
      </c>
      <c r="G714" s="30"/>
      <c r="H714" s="30"/>
      <c r="I714" s="30"/>
      <c r="J714" s="30"/>
    </row>
    <row r="715" spans="1:10" x14ac:dyDescent="0.25">
      <c r="A715" s="26">
        <v>10</v>
      </c>
      <c r="B715" s="26">
        <v>7</v>
      </c>
      <c r="C715" s="26">
        <v>1.6</v>
      </c>
      <c r="D715" s="26">
        <v>1.5</v>
      </c>
      <c r="E715" s="26">
        <v>60</v>
      </c>
      <c r="F715" s="26">
        <f t="shared" si="16"/>
        <v>2.5000000000000001E-2</v>
      </c>
      <c r="G715" s="30"/>
      <c r="H715" s="30"/>
      <c r="I715" s="30"/>
      <c r="J715" s="30"/>
    </row>
    <row r="716" spans="1:10" x14ac:dyDescent="0.25">
      <c r="A716" s="26">
        <v>10</v>
      </c>
      <c r="B716" s="26">
        <v>7</v>
      </c>
      <c r="C716" s="26">
        <v>1.6</v>
      </c>
      <c r="D716" s="26">
        <v>2</v>
      </c>
      <c r="E716" s="26">
        <v>79</v>
      </c>
      <c r="F716" s="26">
        <f t="shared" si="16"/>
        <v>2.5316455696202531E-2</v>
      </c>
      <c r="G716" s="30"/>
      <c r="H716" s="30"/>
      <c r="I716" s="30"/>
      <c r="J716" s="30"/>
    </row>
    <row r="717" spans="1:10" x14ac:dyDescent="0.25">
      <c r="A717" s="26">
        <v>10</v>
      </c>
      <c r="B717" s="26">
        <v>7</v>
      </c>
      <c r="C717" s="26">
        <v>1.6</v>
      </c>
      <c r="D717" s="26">
        <v>2.5</v>
      </c>
      <c r="E717" s="26">
        <v>99</v>
      </c>
      <c r="F717" s="26">
        <f t="shared" si="16"/>
        <v>2.5252525252525252E-2</v>
      </c>
      <c r="G717" s="30"/>
      <c r="H717" s="30"/>
      <c r="I717" s="30"/>
      <c r="J717" s="30"/>
    </row>
    <row r="718" spans="1:10" x14ac:dyDescent="0.25">
      <c r="A718" s="26">
        <v>10</v>
      </c>
      <c r="B718" s="26">
        <v>7</v>
      </c>
      <c r="C718" s="26">
        <v>1.6</v>
      </c>
      <c r="D718" s="26">
        <v>3</v>
      </c>
      <c r="E718" s="26">
        <v>119</v>
      </c>
      <c r="F718" s="26">
        <f t="shared" si="16"/>
        <v>2.5210084033613446E-2</v>
      </c>
      <c r="G718" s="30"/>
      <c r="H718" s="30"/>
      <c r="I718" s="30"/>
      <c r="J718" s="30"/>
    </row>
    <row r="719" spans="1:10" x14ac:dyDescent="0.25">
      <c r="A719" s="26">
        <v>10</v>
      </c>
      <c r="B719" s="26">
        <v>7</v>
      </c>
      <c r="C719" s="26">
        <v>1.8</v>
      </c>
      <c r="D719" s="26">
        <v>0.5</v>
      </c>
      <c r="E719" s="26">
        <v>20</v>
      </c>
      <c r="F719" s="26">
        <f t="shared" si="16"/>
        <v>2.5000000000000001E-2</v>
      </c>
      <c r="G719" s="30"/>
      <c r="H719" s="30"/>
      <c r="I719" s="30"/>
      <c r="J719" s="30"/>
    </row>
    <row r="720" spans="1:10" x14ac:dyDescent="0.25">
      <c r="A720" s="26">
        <v>10</v>
      </c>
      <c r="B720" s="26">
        <v>7</v>
      </c>
      <c r="C720" s="26">
        <v>1.8</v>
      </c>
      <c r="D720" s="26">
        <v>1</v>
      </c>
      <c r="E720" s="26">
        <v>41</v>
      </c>
      <c r="F720" s="26">
        <f t="shared" si="16"/>
        <v>2.4390243902439025E-2</v>
      </c>
      <c r="G720" s="30"/>
      <c r="H720" s="30"/>
      <c r="I720" s="30"/>
      <c r="J720" s="30"/>
    </row>
    <row r="721" spans="1:10" x14ac:dyDescent="0.25">
      <c r="A721" s="26">
        <v>10</v>
      </c>
      <c r="B721" s="26">
        <v>7</v>
      </c>
      <c r="C721" s="26">
        <v>1.8</v>
      </c>
      <c r="D721" s="26">
        <v>1.5</v>
      </c>
      <c r="E721" s="26">
        <v>61</v>
      </c>
      <c r="F721" s="26">
        <f t="shared" si="16"/>
        <v>2.4590163934426229E-2</v>
      </c>
      <c r="G721" s="30"/>
      <c r="H721" s="30"/>
      <c r="I721" s="30"/>
      <c r="J721" s="30"/>
    </row>
    <row r="722" spans="1:10" x14ac:dyDescent="0.25">
      <c r="A722" s="26">
        <v>10</v>
      </c>
      <c r="B722" s="26">
        <v>7</v>
      </c>
      <c r="C722" s="26">
        <v>1.8</v>
      </c>
      <c r="D722" s="26">
        <v>2</v>
      </c>
      <c r="E722" s="26">
        <v>81</v>
      </c>
      <c r="F722" s="26">
        <f t="shared" si="16"/>
        <v>2.4691358024691357E-2</v>
      </c>
      <c r="G722" s="30"/>
      <c r="H722" s="30"/>
      <c r="I722" s="30"/>
      <c r="J722" s="30"/>
    </row>
    <row r="723" spans="1:10" x14ac:dyDescent="0.25">
      <c r="A723" s="26">
        <v>10</v>
      </c>
      <c r="B723" s="26">
        <v>7</v>
      </c>
      <c r="C723" s="26">
        <v>1.8</v>
      </c>
      <c r="D723" s="26">
        <v>2.5</v>
      </c>
      <c r="E723" s="26">
        <v>102</v>
      </c>
      <c r="F723" s="26">
        <f t="shared" si="16"/>
        <v>2.4509803921568627E-2</v>
      </c>
      <c r="G723" s="30"/>
      <c r="H723" s="30"/>
      <c r="I723" s="30"/>
      <c r="J723" s="30"/>
    </row>
    <row r="724" spans="1:10" x14ac:dyDescent="0.25">
      <c r="A724" s="26">
        <v>10</v>
      </c>
      <c r="B724" s="26">
        <v>7</v>
      </c>
      <c r="C724" s="26">
        <v>1.8</v>
      </c>
      <c r="D724" s="26">
        <v>3</v>
      </c>
      <c r="E724" s="26">
        <v>122</v>
      </c>
      <c r="F724" s="26">
        <f t="shared" si="16"/>
        <v>2.4590163934426229E-2</v>
      </c>
      <c r="G724" s="30"/>
      <c r="H724" s="30"/>
      <c r="I724" s="30"/>
      <c r="J724" s="30"/>
    </row>
    <row r="725" spans="1:10" x14ac:dyDescent="0.25">
      <c r="A725" s="26">
        <v>10</v>
      </c>
      <c r="B725" s="26">
        <v>7</v>
      </c>
      <c r="C725" s="26">
        <v>2</v>
      </c>
      <c r="D725" s="26">
        <v>0.5</v>
      </c>
      <c r="E725" s="26">
        <v>21</v>
      </c>
      <c r="F725" s="26">
        <f t="shared" si="16"/>
        <v>2.3809523809523808E-2</v>
      </c>
      <c r="G725" s="30"/>
      <c r="H725" s="30"/>
      <c r="I725" s="30"/>
      <c r="J725" s="30"/>
    </row>
    <row r="726" spans="1:10" x14ac:dyDescent="0.25">
      <c r="A726" s="26">
        <v>10</v>
      </c>
      <c r="B726" s="26">
        <v>7</v>
      </c>
      <c r="C726" s="26">
        <v>2</v>
      </c>
      <c r="D726" s="26">
        <v>1</v>
      </c>
      <c r="E726" s="26">
        <v>41</v>
      </c>
      <c r="F726" s="26">
        <f t="shared" si="16"/>
        <v>2.4390243902439025E-2</v>
      </c>
      <c r="G726" s="30"/>
      <c r="H726" s="30"/>
      <c r="I726" s="30"/>
      <c r="J726" s="30"/>
    </row>
    <row r="727" spans="1:10" x14ac:dyDescent="0.25">
      <c r="A727" s="26">
        <v>10</v>
      </c>
      <c r="B727" s="26">
        <v>7</v>
      </c>
      <c r="C727" s="26">
        <v>2</v>
      </c>
      <c r="D727" s="26">
        <v>1.5</v>
      </c>
      <c r="E727" s="26">
        <v>62</v>
      </c>
      <c r="F727" s="26">
        <f t="shared" si="16"/>
        <v>2.4193548387096774E-2</v>
      </c>
      <c r="G727" s="30"/>
      <c r="H727" s="30"/>
      <c r="I727" s="30"/>
      <c r="J727" s="30"/>
    </row>
    <row r="728" spans="1:10" x14ac:dyDescent="0.25">
      <c r="A728" s="26">
        <v>10</v>
      </c>
      <c r="B728" s="26">
        <v>7</v>
      </c>
      <c r="C728" s="26">
        <v>2</v>
      </c>
      <c r="D728" s="26">
        <v>2</v>
      </c>
      <c r="E728" s="26">
        <v>83</v>
      </c>
      <c r="F728" s="26">
        <f t="shared" si="16"/>
        <v>2.4096385542168676E-2</v>
      </c>
      <c r="G728" s="30"/>
      <c r="H728" s="30"/>
      <c r="I728" s="30"/>
      <c r="J728" s="30"/>
    </row>
    <row r="729" spans="1:10" x14ac:dyDescent="0.25">
      <c r="A729" s="26">
        <v>10</v>
      </c>
      <c r="B729" s="26">
        <v>7</v>
      </c>
      <c r="C729" s="26">
        <v>2</v>
      </c>
      <c r="D729" s="26">
        <v>2.5</v>
      </c>
      <c r="E729" s="26">
        <v>103</v>
      </c>
      <c r="F729" s="26">
        <f t="shared" si="16"/>
        <v>2.4271844660194174E-2</v>
      </c>
      <c r="G729" s="30"/>
      <c r="H729" s="30"/>
      <c r="I729" s="30"/>
      <c r="J729" s="30"/>
    </row>
    <row r="730" spans="1:10" x14ac:dyDescent="0.25">
      <c r="A730" s="26">
        <v>10</v>
      </c>
      <c r="B730" s="26">
        <v>7</v>
      </c>
      <c r="C730" s="26">
        <v>2</v>
      </c>
      <c r="D730" s="26">
        <v>3</v>
      </c>
      <c r="E730" s="26">
        <v>124</v>
      </c>
      <c r="F730" s="26">
        <f t="shared" si="16"/>
        <v>2.4193548387096774E-2</v>
      </c>
      <c r="G730" s="30"/>
      <c r="H730" s="30"/>
      <c r="I730" s="30"/>
      <c r="J730" s="30"/>
    </row>
    <row r="731" spans="1:10" x14ac:dyDescent="0.25">
      <c r="A731" s="26">
        <v>10</v>
      </c>
      <c r="B731" s="26">
        <v>7</v>
      </c>
      <c r="C731" s="26">
        <v>2.2000000000000002</v>
      </c>
      <c r="D731" s="26">
        <v>0.5</v>
      </c>
      <c r="E731" s="26">
        <v>21</v>
      </c>
      <c r="F731" s="26">
        <f t="shared" si="16"/>
        <v>2.3809523809523808E-2</v>
      </c>
      <c r="G731" s="30"/>
      <c r="H731" s="30"/>
      <c r="I731" s="30"/>
      <c r="J731" s="30"/>
    </row>
    <row r="732" spans="1:10" x14ac:dyDescent="0.25">
      <c r="A732" s="26">
        <v>10</v>
      </c>
      <c r="B732" s="26">
        <v>7</v>
      </c>
      <c r="C732" s="26">
        <v>2.2000000000000002</v>
      </c>
      <c r="D732" s="26">
        <v>1</v>
      </c>
      <c r="E732" s="26">
        <v>42</v>
      </c>
      <c r="F732" s="26">
        <f t="shared" si="16"/>
        <v>2.3809523809523808E-2</v>
      </c>
      <c r="G732" s="30"/>
      <c r="H732" s="30"/>
      <c r="I732" s="30"/>
      <c r="J732" s="30"/>
    </row>
    <row r="733" spans="1:10" x14ac:dyDescent="0.25">
      <c r="A733" s="26">
        <v>10</v>
      </c>
      <c r="B733" s="26">
        <v>7</v>
      </c>
      <c r="C733" s="26">
        <v>2.2000000000000002</v>
      </c>
      <c r="D733" s="26">
        <v>1.5</v>
      </c>
      <c r="E733" s="26">
        <v>64</v>
      </c>
      <c r="F733" s="26">
        <f t="shared" si="16"/>
        <v>2.34375E-2</v>
      </c>
      <c r="G733" s="30"/>
      <c r="H733" s="30"/>
      <c r="I733" s="30"/>
      <c r="J733" s="30"/>
    </row>
    <row r="734" spans="1:10" x14ac:dyDescent="0.25">
      <c r="A734" s="26">
        <v>10</v>
      </c>
      <c r="B734" s="26">
        <v>7</v>
      </c>
      <c r="C734" s="26">
        <v>2.2000000000000002</v>
      </c>
      <c r="D734" s="26">
        <v>2</v>
      </c>
      <c r="E734" s="26">
        <v>85</v>
      </c>
      <c r="F734" s="26">
        <f t="shared" si="16"/>
        <v>2.3529411764705882E-2</v>
      </c>
      <c r="G734" s="30"/>
      <c r="H734" s="30"/>
      <c r="I734" s="30"/>
      <c r="J734" s="30"/>
    </row>
    <row r="735" spans="1:10" x14ac:dyDescent="0.25">
      <c r="A735" s="26">
        <v>10</v>
      </c>
      <c r="B735" s="26">
        <v>7</v>
      </c>
      <c r="C735" s="26">
        <v>2.2000000000000002</v>
      </c>
      <c r="D735" s="26">
        <v>2.5</v>
      </c>
      <c r="E735" s="26">
        <v>106</v>
      </c>
      <c r="F735" s="26">
        <f t="shared" si="16"/>
        <v>2.358490566037736E-2</v>
      </c>
      <c r="G735" s="30"/>
      <c r="H735" s="30"/>
      <c r="I735" s="30"/>
      <c r="J735" s="30"/>
    </row>
    <row r="736" spans="1:10" x14ac:dyDescent="0.25">
      <c r="A736" s="26">
        <v>10</v>
      </c>
      <c r="B736" s="26">
        <v>7</v>
      </c>
      <c r="C736" s="26">
        <v>2.2000000000000002</v>
      </c>
      <c r="D736" s="26">
        <v>3</v>
      </c>
      <c r="E736" s="26">
        <v>127</v>
      </c>
      <c r="F736" s="26">
        <f t="shared" si="16"/>
        <v>2.3622047244094488E-2</v>
      </c>
      <c r="G736" s="30"/>
      <c r="H736" s="30"/>
      <c r="I736" s="30"/>
      <c r="J736" s="30"/>
    </row>
    <row r="737" spans="1:10" x14ac:dyDescent="0.25">
      <c r="A737" s="26">
        <v>10</v>
      </c>
      <c r="B737" s="26">
        <v>7</v>
      </c>
      <c r="C737" s="26">
        <v>2.4</v>
      </c>
      <c r="D737" s="26">
        <v>0.5</v>
      </c>
      <c r="E737" s="26">
        <v>22</v>
      </c>
      <c r="F737" s="26">
        <f t="shared" si="16"/>
        <v>2.2727272727272728E-2</v>
      </c>
      <c r="G737" s="30"/>
      <c r="H737" s="30"/>
      <c r="I737" s="30"/>
      <c r="J737" s="30"/>
    </row>
    <row r="738" spans="1:10" x14ac:dyDescent="0.25">
      <c r="A738" s="26">
        <v>10</v>
      </c>
      <c r="B738" s="26">
        <v>7</v>
      </c>
      <c r="C738" s="26">
        <v>2.4</v>
      </c>
      <c r="D738" s="26">
        <v>1</v>
      </c>
      <c r="E738" s="26">
        <v>43</v>
      </c>
      <c r="F738" s="26">
        <f t="shared" si="16"/>
        <v>2.3255813953488372E-2</v>
      </c>
      <c r="G738" s="30"/>
      <c r="H738" s="30"/>
      <c r="I738" s="30"/>
      <c r="J738" s="30"/>
    </row>
    <row r="739" spans="1:10" x14ac:dyDescent="0.25">
      <c r="A739" s="26">
        <v>10</v>
      </c>
      <c r="B739" s="26">
        <v>7</v>
      </c>
      <c r="C739" s="26">
        <v>2.4</v>
      </c>
      <c r="D739" s="26">
        <v>1.5</v>
      </c>
      <c r="E739" s="26">
        <v>65</v>
      </c>
      <c r="F739" s="26">
        <f t="shared" si="16"/>
        <v>2.3076923076923078E-2</v>
      </c>
      <c r="G739" s="30"/>
      <c r="H739" s="30"/>
      <c r="I739" s="30"/>
      <c r="J739" s="30"/>
    </row>
    <row r="740" spans="1:10" x14ac:dyDescent="0.25">
      <c r="A740" s="26">
        <v>10</v>
      </c>
      <c r="B740" s="26">
        <v>7</v>
      </c>
      <c r="C740" s="26">
        <v>2.4</v>
      </c>
      <c r="D740" s="26">
        <v>2</v>
      </c>
      <c r="E740" s="26">
        <v>86</v>
      </c>
      <c r="F740" s="26">
        <f t="shared" si="16"/>
        <v>2.3255813953488372E-2</v>
      </c>
      <c r="G740" s="30"/>
      <c r="H740" s="30"/>
      <c r="I740" s="30"/>
      <c r="J740" s="30"/>
    </row>
    <row r="741" spans="1:10" x14ac:dyDescent="0.25">
      <c r="A741" s="26">
        <v>10</v>
      </c>
      <c r="B741" s="26">
        <v>7</v>
      </c>
      <c r="C741" s="26">
        <v>2.4</v>
      </c>
      <c r="D741" s="26">
        <v>2.5</v>
      </c>
      <c r="E741" s="26">
        <v>108</v>
      </c>
      <c r="F741" s="26">
        <f t="shared" si="16"/>
        <v>2.3148148148148147E-2</v>
      </c>
      <c r="G741" s="30"/>
      <c r="H741" s="30"/>
      <c r="I741" s="30"/>
      <c r="J741" s="30"/>
    </row>
    <row r="742" spans="1:10" x14ac:dyDescent="0.25">
      <c r="A742" s="26">
        <v>10</v>
      </c>
      <c r="B742" s="26">
        <v>7</v>
      </c>
      <c r="C742" s="26">
        <v>2.4</v>
      </c>
      <c r="D742" s="26">
        <v>3</v>
      </c>
      <c r="E742" s="26">
        <v>129</v>
      </c>
      <c r="F742" s="26">
        <f t="shared" si="16"/>
        <v>2.3255813953488372E-2</v>
      </c>
      <c r="G742" s="30"/>
      <c r="H742" s="30"/>
      <c r="I742" s="30"/>
      <c r="J742" s="30"/>
    </row>
    <row r="743" spans="1:10" x14ac:dyDescent="0.25">
      <c r="A743" s="26">
        <v>10</v>
      </c>
      <c r="B743" s="26">
        <v>7</v>
      </c>
      <c r="C743" s="26">
        <v>2.6</v>
      </c>
      <c r="D743" s="26">
        <v>0.5</v>
      </c>
      <c r="E743" s="26">
        <v>22</v>
      </c>
      <c r="F743" s="26">
        <f t="shared" si="16"/>
        <v>2.2727272727272728E-2</v>
      </c>
      <c r="G743" s="30"/>
      <c r="H743" s="30"/>
      <c r="I743" s="30"/>
      <c r="J743" s="30"/>
    </row>
    <row r="744" spans="1:10" x14ac:dyDescent="0.25">
      <c r="A744" s="26">
        <v>10</v>
      </c>
      <c r="B744" s="26">
        <v>7</v>
      </c>
      <c r="C744" s="26">
        <v>2.6</v>
      </c>
      <c r="D744" s="26">
        <v>1</v>
      </c>
      <c r="E744" s="26">
        <v>44</v>
      </c>
      <c r="F744" s="26">
        <f t="shared" si="16"/>
        <v>2.2727272727272728E-2</v>
      </c>
      <c r="G744" s="30"/>
      <c r="H744" s="30"/>
      <c r="I744" s="30"/>
      <c r="J744" s="30"/>
    </row>
    <row r="745" spans="1:10" x14ac:dyDescent="0.25">
      <c r="A745" s="26">
        <v>10</v>
      </c>
      <c r="B745" s="26">
        <v>7</v>
      </c>
      <c r="C745" s="26">
        <v>2.6</v>
      </c>
      <c r="D745" s="26">
        <v>1.5</v>
      </c>
      <c r="E745" s="26">
        <v>66</v>
      </c>
      <c r="F745" s="26">
        <f t="shared" si="16"/>
        <v>2.2727272727272728E-2</v>
      </c>
      <c r="G745" s="30"/>
      <c r="H745" s="30"/>
      <c r="I745" s="30"/>
      <c r="J745" s="30"/>
    </row>
    <row r="746" spans="1:10" x14ac:dyDescent="0.25">
      <c r="A746" s="26">
        <v>10</v>
      </c>
      <c r="B746" s="26">
        <v>7</v>
      </c>
      <c r="C746" s="26">
        <v>2.6</v>
      </c>
      <c r="D746" s="26">
        <v>2</v>
      </c>
      <c r="E746" s="26">
        <v>87</v>
      </c>
      <c r="F746" s="26">
        <f t="shared" si="16"/>
        <v>2.2988505747126436E-2</v>
      </c>
      <c r="G746" s="30"/>
      <c r="H746" s="30"/>
      <c r="I746" s="30"/>
      <c r="J746" s="30"/>
    </row>
    <row r="747" spans="1:10" x14ac:dyDescent="0.25">
      <c r="A747" s="26">
        <v>10</v>
      </c>
      <c r="B747" s="26">
        <v>7</v>
      </c>
      <c r="C747" s="26">
        <v>2.6</v>
      </c>
      <c r="D747" s="26">
        <v>2.5</v>
      </c>
      <c r="E747" s="26">
        <v>109</v>
      </c>
      <c r="F747" s="26">
        <f t="shared" si="16"/>
        <v>2.2935779816513763E-2</v>
      </c>
      <c r="G747" s="30"/>
      <c r="H747" s="30"/>
      <c r="I747" s="30"/>
      <c r="J747" s="30"/>
    </row>
    <row r="748" spans="1:10" x14ac:dyDescent="0.25">
      <c r="A748" s="26">
        <v>10</v>
      </c>
      <c r="B748" s="26">
        <v>7</v>
      </c>
      <c r="C748" s="26">
        <v>2.6</v>
      </c>
      <c r="D748" s="26">
        <v>3</v>
      </c>
      <c r="E748" s="26">
        <v>131</v>
      </c>
      <c r="F748" s="26">
        <f t="shared" si="16"/>
        <v>2.2900763358778626E-2</v>
      </c>
      <c r="G748" s="30"/>
      <c r="H748" s="30"/>
      <c r="I748" s="30"/>
      <c r="J748" s="30"/>
    </row>
    <row r="749" spans="1:10" x14ac:dyDescent="0.25">
      <c r="A749" s="26">
        <v>10</v>
      </c>
      <c r="B749" s="26">
        <v>7</v>
      </c>
      <c r="C749" s="26">
        <v>2.8</v>
      </c>
      <c r="D749" s="26">
        <v>0.5</v>
      </c>
      <c r="E749" s="26">
        <v>22</v>
      </c>
      <c r="F749" s="26">
        <f t="shared" si="16"/>
        <v>2.2727272727272728E-2</v>
      </c>
      <c r="G749" s="30"/>
      <c r="H749" s="30"/>
      <c r="I749" s="30"/>
      <c r="J749" s="30"/>
    </row>
    <row r="750" spans="1:10" x14ac:dyDescent="0.25">
      <c r="A750" s="26">
        <v>10</v>
      </c>
      <c r="B750" s="26">
        <v>7</v>
      </c>
      <c r="C750" s="26">
        <v>2.8</v>
      </c>
      <c r="D750" s="26">
        <v>1</v>
      </c>
      <c r="E750" s="26">
        <v>45</v>
      </c>
      <c r="F750" s="26">
        <f t="shared" si="16"/>
        <v>2.2222222222222223E-2</v>
      </c>
      <c r="G750" s="30"/>
      <c r="H750" s="30"/>
      <c r="I750" s="30"/>
      <c r="J750" s="30"/>
    </row>
    <row r="751" spans="1:10" x14ac:dyDescent="0.25">
      <c r="A751" s="26">
        <v>10</v>
      </c>
      <c r="B751" s="26">
        <v>7</v>
      </c>
      <c r="C751" s="26">
        <v>2.8</v>
      </c>
      <c r="D751" s="26">
        <v>1.5</v>
      </c>
      <c r="E751" s="26">
        <v>67</v>
      </c>
      <c r="F751" s="26">
        <f t="shared" si="16"/>
        <v>2.2388059701492536E-2</v>
      </c>
      <c r="G751" s="30"/>
      <c r="H751" s="30"/>
      <c r="I751" s="30"/>
      <c r="J751" s="30"/>
    </row>
    <row r="752" spans="1:10" x14ac:dyDescent="0.25">
      <c r="A752" s="26">
        <v>10</v>
      </c>
      <c r="B752" s="26">
        <v>7</v>
      </c>
      <c r="C752" s="26">
        <v>2.8</v>
      </c>
      <c r="D752" s="26">
        <v>2</v>
      </c>
      <c r="E752" s="26">
        <v>89</v>
      </c>
      <c r="F752" s="26">
        <f t="shared" si="16"/>
        <v>2.247191011235955E-2</v>
      </c>
      <c r="G752" s="30"/>
      <c r="H752" s="30"/>
      <c r="I752" s="30"/>
      <c r="J752" s="30"/>
    </row>
    <row r="753" spans="1:10" x14ac:dyDescent="0.25">
      <c r="A753" s="26">
        <v>10</v>
      </c>
      <c r="B753" s="26">
        <v>7</v>
      </c>
      <c r="C753" s="26">
        <v>2.8</v>
      </c>
      <c r="D753" s="26">
        <v>2.5</v>
      </c>
      <c r="E753" s="26">
        <v>112</v>
      </c>
      <c r="F753" s="26">
        <f t="shared" si="16"/>
        <v>2.2321428571428572E-2</v>
      </c>
      <c r="G753" s="30"/>
      <c r="H753" s="30"/>
      <c r="I753" s="30"/>
      <c r="J753" s="30"/>
    </row>
    <row r="754" spans="1:10" x14ac:dyDescent="0.25">
      <c r="A754" s="26">
        <v>10</v>
      </c>
      <c r="B754" s="26">
        <v>7</v>
      </c>
      <c r="C754" s="26">
        <v>2.8</v>
      </c>
      <c r="D754" s="26">
        <v>3</v>
      </c>
      <c r="E754" s="26">
        <v>134</v>
      </c>
      <c r="F754" s="26">
        <f t="shared" si="16"/>
        <v>2.2388059701492536E-2</v>
      </c>
      <c r="G754" s="30"/>
      <c r="H754" s="30"/>
      <c r="I754" s="30"/>
      <c r="J754" s="30"/>
    </row>
    <row r="755" spans="1:10" x14ac:dyDescent="0.25">
      <c r="A755" s="26">
        <v>10</v>
      </c>
      <c r="B755" s="26">
        <v>7</v>
      </c>
      <c r="C755" s="26">
        <v>3</v>
      </c>
      <c r="D755" s="26">
        <v>0.5</v>
      </c>
      <c r="E755" s="26">
        <v>23</v>
      </c>
      <c r="F755" s="26">
        <f t="shared" si="16"/>
        <v>2.1739130434782608E-2</v>
      </c>
      <c r="G755" s="30"/>
      <c r="H755" s="30"/>
      <c r="I755" s="30"/>
      <c r="J755" s="30"/>
    </row>
    <row r="756" spans="1:10" x14ac:dyDescent="0.25">
      <c r="A756" s="26">
        <v>10</v>
      </c>
      <c r="B756" s="26">
        <v>7</v>
      </c>
      <c r="C756" s="26">
        <v>3</v>
      </c>
      <c r="D756" s="26">
        <v>1</v>
      </c>
      <c r="E756" s="26">
        <v>46</v>
      </c>
      <c r="F756" s="26">
        <f t="shared" si="16"/>
        <v>2.1739130434782608E-2</v>
      </c>
      <c r="G756" s="30"/>
      <c r="H756" s="30"/>
      <c r="I756" s="30"/>
      <c r="J756" s="30"/>
    </row>
    <row r="757" spans="1:10" x14ac:dyDescent="0.25">
      <c r="A757" s="26">
        <v>10</v>
      </c>
      <c r="B757" s="26">
        <v>7</v>
      </c>
      <c r="C757" s="26">
        <v>3</v>
      </c>
      <c r="D757" s="26">
        <v>1.5</v>
      </c>
      <c r="E757" s="26">
        <v>69</v>
      </c>
      <c r="F757" s="26">
        <f t="shared" si="16"/>
        <v>2.1739130434782608E-2</v>
      </c>
      <c r="G757" s="30"/>
      <c r="H757" s="30"/>
      <c r="I757" s="30"/>
      <c r="J757" s="30"/>
    </row>
    <row r="758" spans="1:10" x14ac:dyDescent="0.25">
      <c r="A758" s="26">
        <v>10</v>
      </c>
      <c r="B758" s="26">
        <v>7</v>
      </c>
      <c r="C758" s="26">
        <v>3</v>
      </c>
      <c r="D758" s="26">
        <v>2</v>
      </c>
      <c r="E758" s="26">
        <v>91</v>
      </c>
      <c r="F758" s="26">
        <f t="shared" si="16"/>
        <v>2.197802197802198E-2</v>
      </c>
      <c r="G758" s="30"/>
      <c r="H758" s="30"/>
      <c r="I758" s="30"/>
      <c r="J758" s="30"/>
    </row>
    <row r="759" spans="1:10" x14ac:dyDescent="0.25">
      <c r="A759" s="26">
        <v>10</v>
      </c>
      <c r="B759" s="26">
        <v>7</v>
      </c>
      <c r="C759" s="26">
        <v>3</v>
      </c>
      <c r="D759" s="26">
        <v>2.5</v>
      </c>
      <c r="E759" s="26">
        <v>114</v>
      </c>
      <c r="F759" s="26">
        <f t="shared" si="16"/>
        <v>2.1929824561403508E-2</v>
      </c>
      <c r="G759" s="30"/>
      <c r="H759" s="30"/>
      <c r="I759" s="30"/>
      <c r="J759" s="30"/>
    </row>
    <row r="760" spans="1:10" x14ac:dyDescent="0.25">
      <c r="A760" s="26">
        <v>10</v>
      </c>
      <c r="B760" s="26">
        <v>7</v>
      </c>
      <c r="C760" s="26">
        <v>3</v>
      </c>
      <c r="D760" s="26">
        <v>3</v>
      </c>
      <c r="E760" s="26">
        <v>137</v>
      </c>
      <c r="F760" s="26">
        <f t="shared" si="16"/>
        <v>2.1897810218978103E-2</v>
      </c>
      <c r="G760" s="30"/>
      <c r="H760" s="30"/>
      <c r="I760" s="30"/>
      <c r="J760" s="30"/>
    </row>
    <row r="761" spans="1:10" x14ac:dyDescent="0.25">
      <c r="A761" s="26">
        <v>10</v>
      </c>
      <c r="B761" s="26">
        <v>7.5</v>
      </c>
      <c r="C761" s="26">
        <v>0.4</v>
      </c>
      <c r="D761" s="26">
        <v>0.5</v>
      </c>
      <c r="E761" s="26">
        <v>21</v>
      </c>
      <c r="F761" s="26">
        <f t="shared" si="16"/>
        <v>2.3809523809523808E-2</v>
      </c>
      <c r="G761" s="30"/>
      <c r="H761" s="30"/>
      <c r="I761" s="30"/>
      <c r="J761" s="30"/>
    </row>
    <row r="762" spans="1:10" x14ac:dyDescent="0.25">
      <c r="A762" s="26">
        <v>10</v>
      </c>
      <c r="B762" s="26">
        <v>7.5</v>
      </c>
      <c r="C762" s="26">
        <v>0.4</v>
      </c>
      <c r="D762" s="26">
        <v>1</v>
      </c>
      <c r="E762" s="26">
        <v>42</v>
      </c>
      <c r="F762" s="26">
        <f t="shared" si="16"/>
        <v>2.3809523809523808E-2</v>
      </c>
      <c r="G762" s="30"/>
      <c r="H762" s="30"/>
      <c r="I762" s="30"/>
      <c r="J762" s="30"/>
    </row>
    <row r="763" spans="1:10" x14ac:dyDescent="0.25">
      <c r="A763" s="26">
        <v>10</v>
      </c>
      <c r="B763" s="26">
        <v>7.5</v>
      </c>
      <c r="C763" s="26">
        <v>0.4</v>
      </c>
      <c r="D763" s="26">
        <v>1.5</v>
      </c>
      <c r="E763" s="26">
        <v>63</v>
      </c>
      <c r="F763" s="26">
        <f t="shared" si="16"/>
        <v>2.3809523809523808E-2</v>
      </c>
      <c r="G763" s="30"/>
      <c r="H763" s="30"/>
      <c r="I763" s="30"/>
      <c r="J763" s="30"/>
    </row>
    <row r="764" spans="1:10" x14ac:dyDescent="0.25">
      <c r="A764" s="26">
        <v>10</v>
      </c>
      <c r="B764" s="26">
        <v>7.5</v>
      </c>
      <c r="C764" s="26">
        <v>0.4</v>
      </c>
      <c r="D764" s="26">
        <v>2</v>
      </c>
      <c r="E764" s="26">
        <v>83</v>
      </c>
      <c r="F764" s="26">
        <f t="shared" si="16"/>
        <v>2.4096385542168676E-2</v>
      </c>
      <c r="G764" s="30"/>
      <c r="H764" s="30"/>
      <c r="I764" s="30"/>
      <c r="J764" s="30"/>
    </row>
    <row r="765" spans="1:10" x14ac:dyDescent="0.25">
      <c r="A765" s="26">
        <v>10</v>
      </c>
      <c r="B765" s="26">
        <v>7.5</v>
      </c>
      <c r="C765" s="26">
        <v>0.4</v>
      </c>
      <c r="D765" s="26">
        <v>2.5</v>
      </c>
      <c r="E765" s="26">
        <v>104</v>
      </c>
      <c r="F765" s="26">
        <f t="shared" si="16"/>
        <v>2.403846153846154E-2</v>
      </c>
      <c r="G765" s="30"/>
      <c r="H765" s="30"/>
      <c r="I765" s="30"/>
      <c r="J765" s="30"/>
    </row>
    <row r="766" spans="1:10" x14ac:dyDescent="0.25">
      <c r="A766" s="26">
        <v>10</v>
      </c>
      <c r="B766" s="26">
        <v>7.5</v>
      </c>
      <c r="C766" s="26">
        <v>0.4</v>
      </c>
      <c r="D766" s="26">
        <v>3</v>
      </c>
      <c r="E766" s="26">
        <v>125</v>
      </c>
      <c r="F766" s="26">
        <f t="shared" si="16"/>
        <v>2.4E-2</v>
      </c>
      <c r="G766" s="30"/>
      <c r="H766" s="30"/>
      <c r="I766" s="30"/>
      <c r="J766" s="30"/>
    </row>
    <row r="767" spans="1:10" x14ac:dyDescent="0.25">
      <c r="A767" s="26">
        <v>10</v>
      </c>
      <c r="B767" s="26">
        <v>7.5</v>
      </c>
      <c r="C767" s="26">
        <v>0.6</v>
      </c>
      <c r="D767" s="26">
        <v>0.5</v>
      </c>
      <c r="E767" s="26">
        <v>21</v>
      </c>
      <c r="F767" s="26">
        <f t="shared" si="16"/>
        <v>2.3809523809523808E-2</v>
      </c>
      <c r="G767" s="30"/>
      <c r="H767" s="30"/>
      <c r="I767" s="30"/>
      <c r="J767" s="30"/>
    </row>
    <row r="768" spans="1:10" x14ac:dyDescent="0.25">
      <c r="A768" s="26">
        <v>10</v>
      </c>
      <c r="B768" s="26">
        <v>7.5</v>
      </c>
      <c r="C768" s="26">
        <v>0.6</v>
      </c>
      <c r="D768" s="26">
        <v>1</v>
      </c>
      <c r="E768" s="26">
        <v>43</v>
      </c>
      <c r="F768" s="26">
        <f t="shared" si="16"/>
        <v>2.3255813953488372E-2</v>
      </c>
      <c r="G768" s="30"/>
      <c r="H768" s="30"/>
      <c r="I768" s="30"/>
      <c r="J768" s="30"/>
    </row>
    <row r="769" spans="1:10" x14ac:dyDescent="0.25">
      <c r="A769" s="26">
        <v>10</v>
      </c>
      <c r="B769" s="26">
        <v>7.5</v>
      </c>
      <c r="C769" s="26">
        <v>0.6</v>
      </c>
      <c r="D769" s="26">
        <v>1.5</v>
      </c>
      <c r="E769" s="26">
        <v>64</v>
      </c>
      <c r="F769" s="26">
        <f t="shared" si="16"/>
        <v>2.34375E-2</v>
      </c>
      <c r="G769" s="30"/>
      <c r="H769" s="30"/>
      <c r="I769" s="30"/>
      <c r="J769" s="30"/>
    </row>
    <row r="770" spans="1:10" x14ac:dyDescent="0.25">
      <c r="A770" s="26">
        <v>10</v>
      </c>
      <c r="B770" s="26">
        <v>7.5</v>
      </c>
      <c r="C770" s="26">
        <v>0.6</v>
      </c>
      <c r="D770" s="26">
        <v>2</v>
      </c>
      <c r="E770" s="26">
        <v>85</v>
      </c>
      <c r="F770" s="26">
        <f t="shared" si="16"/>
        <v>2.3529411764705882E-2</v>
      </c>
      <c r="G770" s="30"/>
      <c r="H770" s="30"/>
      <c r="I770" s="30"/>
      <c r="J770" s="30"/>
    </row>
    <row r="771" spans="1:10" x14ac:dyDescent="0.25">
      <c r="A771" s="26">
        <v>10</v>
      </c>
      <c r="B771" s="26">
        <v>7.5</v>
      </c>
      <c r="C771" s="26">
        <v>0.6</v>
      </c>
      <c r="D771" s="26">
        <v>2.5</v>
      </c>
      <c r="E771" s="26">
        <v>107</v>
      </c>
      <c r="F771" s="26">
        <f t="shared" si="16"/>
        <v>2.336448598130841E-2</v>
      </c>
      <c r="G771" s="30"/>
      <c r="H771" s="30"/>
      <c r="I771" s="30"/>
      <c r="J771" s="30"/>
    </row>
    <row r="772" spans="1:10" x14ac:dyDescent="0.25">
      <c r="A772" s="26">
        <v>10</v>
      </c>
      <c r="B772" s="26">
        <v>7.5</v>
      </c>
      <c r="C772" s="26">
        <v>0.6</v>
      </c>
      <c r="D772" s="26">
        <v>3</v>
      </c>
      <c r="E772" s="26">
        <v>128</v>
      </c>
      <c r="F772" s="26">
        <f t="shared" si="16"/>
        <v>2.34375E-2</v>
      </c>
      <c r="G772" s="30"/>
      <c r="I772" s="30"/>
      <c r="J772" s="30"/>
    </row>
    <row r="773" spans="1:10" x14ac:dyDescent="0.25">
      <c r="A773" s="26">
        <v>10</v>
      </c>
      <c r="B773" s="26">
        <v>7.5</v>
      </c>
      <c r="C773" s="26">
        <v>0.8</v>
      </c>
      <c r="D773" s="26">
        <v>0.5</v>
      </c>
      <c r="E773" s="26">
        <v>22</v>
      </c>
      <c r="F773" s="26">
        <f t="shared" ref="F773:F836" si="17">D773/E773</f>
        <v>2.2727272727272728E-2</v>
      </c>
      <c r="G773" s="30"/>
      <c r="I773" s="30"/>
      <c r="J773" s="30"/>
    </row>
    <row r="774" spans="1:10" x14ac:dyDescent="0.25">
      <c r="A774" s="26">
        <v>10</v>
      </c>
      <c r="B774" s="26">
        <v>7.5</v>
      </c>
      <c r="C774" s="26">
        <v>0.8</v>
      </c>
      <c r="D774" s="26">
        <v>1</v>
      </c>
      <c r="E774" s="26">
        <v>44</v>
      </c>
      <c r="F774" s="26">
        <f t="shared" si="17"/>
        <v>2.2727272727272728E-2</v>
      </c>
      <c r="G774" s="30"/>
      <c r="I774" s="30"/>
      <c r="J774" s="30"/>
    </row>
    <row r="775" spans="1:10" x14ac:dyDescent="0.25">
      <c r="A775" s="26">
        <v>10</v>
      </c>
      <c r="B775" s="26">
        <v>7.5</v>
      </c>
      <c r="C775" s="26">
        <v>0.8</v>
      </c>
      <c r="D775" s="26">
        <v>1.5</v>
      </c>
      <c r="E775" s="26">
        <v>66</v>
      </c>
      <c r="F775" s="26">
        <f t="shared" si="17"/>
        <v>2.2727272727272728E-2</v>
      </c>
      <c r="G775" s="30"/>
      <c r="I775" s="30"/>
      <c r="J775" s="30"/>
    </row>
    <row r="776" spans="1:10" x14ac:dyDescent="0.25">
      <c r="A776" s="26">
        <v>10</v>
      </c>
      <c r="B776" s="26">
        <v>7.5</v>
      </c>
      <c r="C776" s="26">
        <v>0.8</v>
      </c>
      <c r="D776" s="26">
        <v>2</v>
      </c>
      <c r="E776" s="26">
        <v>87</v>
      </c>
      <c r="F776" s="26">
        <f t="shared" si="17"/>
        <v>2.2988505747126436E-2</v>
      </c>
      <c r="G776" s="30"/>
      <c r="I776" s="30"/>
      <c r="J776" s="30"/>
    </row>
    <row r="777" spans="1:10" x14ac:dyDescent="0.25">
      <c r="A777" s="26">
        <v>10</v>
      </c>
      <c r="B777" s="26">
        <v>7.5</v>
      </c>
      <c r="C777" s="26">
        <v>0.8</v>
      </c>
      <c r="D777" s="26">
        <v>2.5</v>
      </c>
      <c r="E777" s="26">
        <v>109</v>
      </c>
      <c r="F777" s="26">
        <f t="shared" si="17"/>
        <v>2.2935779816513763E-2</v>
      </c>
      <c r="G777" s="30"/>
      <c r="I777" s="30"/>
      <c r="J777" s="30"/>
    </row>
    <row r="778" spans="1:10" x14ac:dyDescent="0.25">
      <c r="A778" s="26">
        <v>10</v>
      </c>
      <c r="B778" s="26">
        <v>7.5</v>
      </c>
      <c r="C778" s="26">
        <v>0.8</v>
      </c>
      <c r="D778" s="26">
        <v>3</v>
      </c>
      <c r="E778" s="26">
        <v>131</v>
      </c>
      <c r="F778" s="26">
        <f t="shared" si="17"/>
        <v>2.2900763358778626E-2</v>
      </c>
      <c r="G778" s="30"/>
      <c r="I778" s="30"/>
      <c r="J778" s="30"/>
    </row>
    <row r="779" spans="1:10" x14ac:dyDescent="0.25">
      <c r="A779" s="26">
        <v>10</v>
      </c>
      <c r="B779" s="26">
        <v>7.5</v>
      </c>
      <c r="C779" s="26">
        <v>1</v>
      </c>
      <c r="D779" s="26">
        <v>0.5</v>
      </c>
      <c r="E779" s="26">
        <v>22</v>
      </c>
      <c r="F779" s="26">
        <f t="shared" si="17"/>
        <v>2.2727272727272728E-2</v>
      </c>
      <c r="G779" s="30"/>
      <c r="I779" s="30"/>
      <c r="J779" s="30"/>
    </row>
    <row r="780" spans="1:10" x14ac:dyDescent="0.25">
      <c r="A780" s="26">
        <v>10</v>
      </c>
      <c r="B780" s="26">
        <v>7.5</v>
      </c>
      <c r="C780" s="26">
        <v>1</v>
      </c>
      <c r="D780" s="26">
        <v>1</v>
      </c>
      <c r="E780" s="26">
        <v>45</v>
      </c>
      <c r="F780" s="26">
        <f t="shared" si="17"/>
        <v>2.2222222222222223E-2</v>
      </c>
      <c r="G780" s="30"/>
      <c r="I780" s="30"/>
      <c r="J780" s="30"/>
    </row>
    <row r="781" spans="1:10" x14ac:dyDescent="0.25">
      <c r="A781" s="26">
        <v>10</v>
      </c>
      <c r="B781" s="26">
        <v>7.5</v>
      </c>
      <c r="C781" s="26">
        <v>1</v>
      </c>
      <c r="D781" s="26">
        <v>1.5</v>
      </c>
      <c r="E781" s="26">
        <v>67</v>
      </c>
      <c r="F781" s="26">
        <f t="shared" si="17"/>
        <v>2.2388059701492536E-2</v>
      </c>
      <c r="G781" s="30"/>
      <c r="I781" s="30"/>
      <c r="J781" s="30"/>
    </row>
    <row r="782" spans="1:10" x14ac:dyDescent="0.25">
      <c r="A782" s="26">
        <v>10</v>
      </c>
      <c r="B782" s="26">
        <v>7.5</v>
      </c>
      <c r="C782" s="26">
        <v>1</v>
      </c>
      <c r="D782" s="26">
        <v>2</v>
      </c>
      <c r="E782" s="26">
        <v>89</v>
      </c>
      <c r="F782" s="26">
        <f t="shared" si="17"/>
        <v>2.247191011235955E-2</v>
      </c>
      <c r="G782" s="30"/>
      <c r="I782" s="30"/>
      <c r="J782" s="30"/>
    </row>
    <row r="783" spans="1:10" x14ac:dyDescent="0.25">
      <c r="A783" s="26">
        <v>10</v>
      </c>
      <c r="B783" s="26">
        <v>7.5</v>
      </c>
      <c r="C783" s="26">
        <v>1</v>
      </c>
      <c r="D783" s="26">
        <v>2.5</v>
      </c>
      <c r="E783" s="26">
        <v>112</v>
      </c>
      <c r="F783" s="26">
        <f t="shared" si="17"/>
        <v>2.2321428571428572E-2</v>
      </c>
      <c r="G783" s="30"/>
      <c r="I783" s="30"/>
      <c r="J783" s="30"/>
    </row>
    <row r="784" spans="1:10" x14ac:dyDescent="0.25">
      <c r="A784" s="26">
        <v>10</v>
      </c>
      <c r="B784" s="26">
        <v>7.5</v>
      </c>
      <c r="C784" s="26">
        <v>1</v>
      </c>
      <c r="D784" s="26">
        <v>3</v>
      </c>
      <c r="E784" s="26">
        <v>134</v>
      </c>
      <c r="F784" s="26">
        <f t="shared" si="17"/>
        <v>2.2388059701492536E-2</v>
      </c>
      <c r="G784" s="30"/>
      <c r="I784" s="30"/>
      <c r="J784" s="30"/>
    </row>
    <row r="785" spans="1:10" x14ac:dyDescent="0.25">
      <c r="A785" s="26">
        <v>10</v>
      </c>
      <c r="B785" s="26">
        <v>7.5</v>
      </c>
      <c r="C785" s="26">
        <v>1.2</v>
      </c>
      <c r="D785" s="26">
        <v>0.5</v>
      </c>
      <c r="E785" s="26">
        <v>23</v>
      </c>
      <c r="F785" s="26">
        <f t="shared" si="17"/>
        <v>2.1739130434782608E-2</v>
      </c>
      <c r="G785" s="30"/>
      <c r="I785" s="30"/>
      <c r="J785" s="30"/>
    </row>
    <row r="786" spans="1:10" x14ac:dyDescent="0.25">
      <c r="A786" s="26">
        <v>10</v>
      </c>
      <c r="B786" s="26">
        <v>7.5</v>
      </c>
      <c r="C786" s="26">
        <v>1.2</v>
      </c>
      <c r="D786" s="26">
        <v>1</v>
      </c>
      <c r="E786" s="26">
        <v>46</v>
      </c>
      <c r="F786" s="26">
        <f t="shared" si="17"/>
        <v>2.1739130434782608E-2</v>
      </c>
      <c r="G786" s="30"/>
      <c r="I786" s="30"/>
      <c r="J786" s="30"/>
    </row>
    <row r="787" spans="1:10" x14ac:dyDescent="0.25">
      <c r="A787" s="26">
        <v>10</v>
      </c>
      <c r="B787" s="26">
        <v>7.5</v>
      </c>
      <c r="C787" s="26">
        <v>1.2</v>
      </c>
      <c r="D787" s="26">
        <v>1.5</v>
      </c>
      <c r="E787" s="26">
        <v>69</v>
      </c>
      <c r="F787" s="26">
        <f t="shared" si="17"/>
        <v>2.1739130434782608E-2</v>
      </c>
      <c r="G787" s="30"/>
      <c r="I787" s="30"/>
      <c r="J787" s="30"/>
    </row>
    <row r="788" spans="1:10" x14ac:dyDescent="0.25">
      <c r="A788" s="26">
        <v>10</v>
      </c>
      <c r="B788" s="26">
        <v>7.5</v>
      </c>
      <c r="C788" s="26">
        <v>1.2</v>
      </c>
      <c r="D788" s="26">
        <v>2</v>
      </c>
      <c r="E788" s="26">
        <v>91</v>
      </c>
      <c r="F788" s="26">
        <f t="shared" si="17"/>
        <v>2.197802197802198E-2</v>
      </c>
      <c r="G788" s="30"/>
      <c r="I788" s="30"/>
      <c r="J788" s="30"/>
    </row>
    <row r="789" spans="1:10" x14ac:dyDescent="0.25">
      <c r="A789" s="26">
        <v>10</v>
      </c>
      <c r="B789" s="26">
        <v>7.5</v>
      </c>
      <c r="C789" s="26">
        <v>1.2</v>
      </c>
      <c r="D789" s="26">
        <v>2.5</v>
      </c>
      <c r="E789" s="26">
        <v>114</v>
      </c>
      <c r="F789" s="26">
        <f t="shared" si="17"/>
        <v>2.1929824561403508E-2</v>
      </c>
      <c r="G789" s="30"/>
      <c r="I789" s="30"/>
      <c r="J789" s="30"/>
    </row>
    <row r="790" spans="1:10" x14ac:dyDescent="0.25">
      <c r="A790" s="26">
        <v>10</v>
      </c>
      <c r="B790" s="26">
        <v>7.5</v>
      </c>
      <c r="C790" s="26">
        <v>1.2</v>
      </c>
      <c r="D790" s="26">
        <v>3</v>
      </c>
      <c r="E790" s="26">
        <v>137</v>
      </c>
      <c r="F790" s="26">
        <f t="shared" si="17"/>
        <v>2.1897810218978103E-2</v>
      </c>
      <c r="G790" s="30"/>
      <c r="I790" s="30"/>
      <c r="J790" s="30"/>
    </row>
    <row r="791" spans="1:10" x14ac:dyDescent="0.25">
      <c r="A791" s="26">
        <v>10</v>
      </c>
      <c r="B791" s="26">
        <v>7.5</v>
      </c>
      <c r="C791" s="26">
        <v>1.4</v>
      </c>
      <c r="D791" s="26">
        <v>0.5</v>
      </c>
      <c r="E791" s="26">
        <v>23</v>
      </c>
      <c r="F791" s="26">
        <f t="shared" si="17"/>
        <v>2.1739130434782608E-2</v>
      </c>
      <c r="G791" s="30"/>
      <c r="I791" s="30"/>
      <c r="J791" s="30"/>
    </row>
    <row r="792" spans="1:10" x14ac:dyDescent="0.25">
      <c r="A792" s="26">
        <v>10</v>
      </c>
      <c r="B792" s="26">
        <v>7.5</v>
      </c>
      <c r="C792" s="26">
        <v>1.4</v>
      </c>
      <c r="D792" s="26">
        <v>1</v>
      </c>
      <c r="E792" s="26">
        <v>47</v>
      </c>
      <c r="F792" s="26">
        <f t="shared" si="17"/>
        <v>2.1276595744680851E-2</v>
      </c>
      <c r="G792" s="30"/>
      <c r="I792" s="30"/>
      <c r="J792" s="30"/>
    </row>
    <row r="793" spans="1:10" x14ac:dyDescent="0.25">
      <c r="A793" s="26">
        <v>10</v>
      </c>
      <c r="B793" s="26">
        <v>7.5</v>
      </c>
      <c r="C793" s="26">
        <v>1.4</v>
      </c>
      <c r="D793" s="26">
        <v>1.5</v>
      </c>
      <c r="E793" s="26">
        <v>70</v>
      </c>
      <c r="F793" s="26">
        <f t="shared" si="17"/>
        <v>2.1428571428571429E-2</v>
      </c>
      <c r="G793" s="30"/>
      <c r="I793" s="30"/>
      <c r="J793" s="30"/>
    </row>
    <row r="794" spans="1:10" x14ac:dyDescent="0.25">
      <c r="A794" s="26">
        <v>10</v>
      </c>
      <c r="B794" s="26">
        <v>7.5</v>
      </c>
      <c r="C794" s="26">
        <v>1.4</v>
      </c>
      <c r="D794" s="26">
        <v>2</v>
      </c>
      <c r="E794" s="26">
        <v>93</v>
      </c>
      <c r="F794" s="26">
        <f t="shared" si="17"/>
        <v>2.1505376344086023E-2</v>
      </c>
      <c r="G794" s="30"/>
      <c r="I794" s="30"/>
      <c r="J794" s="30"/>
    </row>
    <row r="795" spans="1:10" x14ac:dyDescent="0.25">
      <c r="A795" s="26">
        <v>10</v>
      </c>
      <c r="B795" s="26">
        <v>7.5</v>
      </c>
      <c r="C795" s="26">
        <v>1.4</v>
      </c>
      <c r="D795" s="26">
        <v>2.5</v>
      </c>
      <c r="E795" s="26">
        <v>117</v>
      </c>
      <c r="F795" s="26">
        <f t="shared" si="17"/>
        <v>2.1367521367521368E-2</v>
      </c>
      <c r="G795" s="30"/>
      <c r="I795" s="30"/>
      <c r="J795" s="30"/>
    </row>
    <row r="796" spans="1:10" x14ac:dyDescent="0.25">
      <c r="A796" s="26">
        <v>10</v>
      </c>
      <c r="B796" s="26">
        <v>7.5</v>
      </c>
      <c r="C796" s="26">
        <v>1.4</v>
      </c>
      <c r="D796" s="26">
        <v>3</v>
      </c>
      <c r="E796" s="26">
        <v>140</v>
      </c>
      <c r="F796" s="26">
        <f t="shared" si="17"/>
        <v>2.1428571428571429E-2</v>
      </c>
      <c r="G796" s="30"/>
      <c r="I796" s="30"/>
      <c r="J796" s="30"/>
    </row>
    <row r="797" spans="1:10" x14ac:dyDescent="0.25">
      <c r="A797" s="26">
        <v>10</v>
      </c>
      <c r="B797" s="26">
        <v>7.5</v>
      </c>
      <c r="C797" s="26">
        <v>1.6</v>
      </c>
      <c r="D797" s="26">
        <v>0.5</v>
      </c>
      <c r="E797" s="26">
        <v>24</v>
      </c>
      <c r="F797" s="26">
        <f t="shared" si="17"/>
        <v>2.0833333333333332E-2</v>
      </c>
      <c r="G797" s="30"/>
      <c r="I797" s="30"/>
      <c r="J797" s="30"/>
    </row>
    <row r="798" spans="1:10" x14ac:dyDescent="0.25">
      <c r="A798" s="26">
        <v>10</v>
      </c>
      <c r="B798" s="26">
        <v>7.5</v>
      </c>
      <c r="C798" s="26">
        <v>1.6</v>
      </c>
      <c r="D798" s="26">
        <v>1</v>
      </c>
      <c r="E798" s="26">
        <v>48</v>
      </c>
      <c r="F798" s="26">
        <f t="shared" si="17"/>
        <v>2.0833333333333332E-2</v>
      </c>
      <c r="G798" s="30"/>
      <c r="I798" s="30"/>
      <c r="J798" s="30"/>
    </row>
    <row r="799" spans="1:10" x14ac:dyDescent="0.25">
      <c r="A799" s="26">
        <v>10</v>
      </c>
      <c r="B799" s="26">
        <v>7.5</v>
      </c>
      <c r="C799" s="26">
        <v>1.6</v>
      </c>
      <c r="D799" s="26">
        <v>1.5</v>
      </c>
      <c r="E799" s="26">
        <v>72</v>
      </c>
      <c r="F799" s="26">
        <f t="shared" si="17"/>
        <v>2.0833333333333332E-2</v>
      </c>
      <c r="G799" s="30"/>
      <c r="I799" s="30"/>
      <c r="J799" s="30"/>
    </row>
    <row r="800" spans="1:10" x14ac:dyDescent="0.25">
      <c r="A800" s="26">
        <v>10</v>
      </c>
      <c r="B800" s="26">
        <v>7.5</v>
      </c>
      <c r="C800" s="26">
        <v>1.6</v>
      </c>
      <c r="D800" s="26">
        <v>2</v>
      </c>
      <c r="E800" s="26">
        <v>96</v>
      </c>
      <c r="F800" s="26">
        <f t="shared" si="17"/>
        <v>2.0833333333333332E-2</v>
      </c>
      <c r="G800" s="30"/>
      <c r="I800" s="30"/>
      <c r="J800" s="30"/>
    </row>
    <row r="801" spans="1:10" x14ac:dyDescent="0.25">
      <c r="A801" s="26">
        <v>10</v>
      </c>
      <c r="B801" s="26">
        <v>7.5</v>
      </c>
      <c r="C801" s="26">
        <v>1.6</v>
      </c>
      <c r="D801" s="26">
        <v>2.5</v>
      </c>
      <c r="E801" s="26">
        <v>120</v>
      </c>
      <c r="F801" s="26">
        <f t="shared" si="17"/>
        <v>2.0833333333333332E-2</v>
      </c>
      <c r="G801" s="30"/>
      <c r="I801" s="30"/>
      <c r="J801" s="30"/>
    </row>
    <row r="802" spans="1:10" x14ac:dyDescent="0.25">
      <c r="A802" s="26">
        <v>10</v>
      </c>
      <c r="B802" s="26">
        <v>7.5</v>
      </c>
      <c r="C802" s="26">
        <v>1.6</v>
      </c>
      <c r="D802" s="26">
        <v>3</v>
      </c>
      <c r="E802" s="26">
        <v>144</v>
      </c>
      <c r="F802" s="26">
        <f t="shared" si="17"/>
        <v>2.0833333333333332E-2</v>
      </c>
      <c r="G802" s="30"/>
      <c r="I802" s="30"/>
      <c r="J802" s="30"/>
    </row>
    <row r="803" spans="1:10" x14ac:dyDescent="0.25">
      <c r="A803" s="26">
        <v>10</v>
      </c>
      <c r="B803" s="26">
        <v>7.5</v>
      </c>
      <c r="C803" s="26">
        <v>1.8</v>
      </c>
      <c r="D803" s="26">
        <v>0.5</v>
      </c>
      <c r="E803" s="26">
        <v>25</v>
      </c>
      <c r="F803" s="26">
        <f t="shared" si="17"/>
        <v>0.02</v>
      </c>
      <c r="G803" s="30"/>
      <c r="I803" s="30"/>
      <c r="J803" s="30"/>
    </row>
    <row r="804" spans="1:10" x14ac:dyDescent="0.25">
      <c r="A804" s="26">
        <v>10</v>
      </c>
      <c r="B804" s="26">
        <v>7.5</v>
      </c>
      <c r="C804" s="26">
        <v>1.8</v>
      </c>
      <c r="D804" s="26">
        <v>1</v>
      </c>
      <c r="E804" s="26">
        <v>49</v>
      </c>
      <c r="F804" s="26">
        <f t="shared" si="17"/>
        <v>2.0408163265306121E-2</v>
      </c>
      <c r="G804" s="30"/>
      <c r="I804" s="30"/>
      <c r="J804" s="30"/>
    </row>
    <row r="805" spans="1:10" x14ac:dyDescent="0.25">
      <c r="A805" s="26">
        <v>10</v>
      </c>
      <c r="B805" s="26">
        <v>7.5</v>
      </c>
      <c r="C805" s="26">
        <v>1.8</v>
      </c>
      <c r="D805" s="26">
        <v>1.5</v>
      </c>
      <c r="E805" s="26">
        <v>74</v>
      </c>
      <c r="F805" s="26">
        <f t="shared" si="17"/>
        <v>2.0270270270270271E-2</v>
      </c>
      <c r="G805" s="30"/>
      <c r="I805" s="30"/>
      <c r="J805" s="30"/>
    </row>
    <row r="806" spans="1:10" x14ac:dyDescent="0.25">
      <c r="A806" s="26">
        <v>10</v>
      </c>
      <c r="B806" s="26">
        <v>7.5</v>
      </c>
      <c r="C806" s="26">
        <v>1.8</v>
      </c>
      <c r="D806" s="26">
        <v>2</v>
      </c>
      <c r="E806" s="26">
        <v>98</v>
      </c>
      <c r="F806" s="26">
        <f t="shared" si="17"/>
        <v>2.0408163265306121E-2</v>
      </c>
      <c r="G806" s="30"/>
      <c r="I806" s="30"/>
      <c r="J806" s="30"/>
    </row>
    <row r="807" spans="1:10" x14ac:dyDescent="0.25">
      <c r="A807" s="26">
        <v>10</v>
      </c>
      <c r="B807" s="26">
        <v>7.5</v>
      </c>
      <c r="C807" s="26">
        <v>1.8</v>
      </c>
      <c r="D807" s="26">
        <v>2.5</v>
      </c>
      <c r="E807" s="26">
        <v>123</v>
      </c>
      <c r="F807" s="26">
        <f t="shared" si="17"/>
        <v>2.032520325203252E-2</v>
      </c>
      <c r="G807" s="30"/>
      <c r="I807" s="30"/>
      <c r="J807" s="30"/>
    </row>
    <row r="808" spans="1:10" x14ac:dyDescent="0.25">
      <c r="A808" s="26">
        <v>10</v>
      </c>
      <c r="B808" s="26">
        <v>7.5</v>
      </c>
      <c r="C808" s="26">
        <v>1.8</v>
      </c>
      <c r="D808" s="26">
        <v>3</v>
      </c>
      <c r="E808" s="26">
        <v>147</v>
      </c>
      <c r="F808" s="26">
        <f t="shared" si="17"/>
        <v>2.0408163265306121E-2</v>
      </c>
      <c r="G808" s="30"/>
      <c r="I808" s="30"/>
      <c r="J808" s="30"/>
    </row>
    <row r="809" spans="1:10" x14ac:dyDescent="0.25">
      <c r="A809" s="26">
        <v>10</v>
      </c>
      <c r="B809" s="26">
        <v>7.5</v>
      </c>
      <c r="C809" s="26">
        <v>2</v>
      </c>
      <c r="D809" s="26">
        <v>0.5</v>
      </c>
      <c r="E809" s="26">
        <v>25</v>
      </c>
      <c r="F809" s="26">
        <f t="shared" si="17"/>
        <v>0.02</v>
      </c>
      <c r="G809" s="30"/>
      <c r="I809" s="30"/>
      <c r="J809" s="30"/>
    </row>
    <row r="810" spans="1:10" x14ac:dyDescent="0.25">
      <c r="A810" s="26">
        <v>10</v>
      </c>
      <c r="B810" s="26">
        <v>7.5</v>
      </c>
      <c r="C810" s="26">
        <v>2</v>
      </c>
      <c r="D810" s="26">
        <v>1</v>
      </c>
      <c r="E810" s="26">
        <v>50</v>
      </c>
      <c r="F810" s="26">
        <f t="shared" si="17"/>
        <v>0.02</v>
      </c>
      <c r="G810" s="30"/>
      <c r="I810" s="30"/>
      <c r="J810" s="30"/>
    </row>
    <row r="811" spans="1:10" x14ac:dyDescent="0.25">
      <c r="A811" s="26">
        <v>10</v>
      </c>
      <c r="B811" s="26">
        <v>7.5</v>
      </c>
      <c r="C811" s="26">
        <v>2</v>
      </c>
      <c r="D811" s="26">
        <v>1.5</v>
      </c>
      <c r="E811" s="26">
        <v>75</v>
      </c>
      <c r="F811" s="26">
        <f t="shared" si="17"/>
        <v>0.02</v>
      </c>
      <c r="G811" s="30"/>
      <c r="I811" s="30"/>
      <c r="J811" s="30"/>
    </row>
    <row r="812" spans="1:10" x14ac:dyDescent="0.25">
      <c r="A812" s="26">
        <v>10</v>
      </c>
      <c r="B812" s="26">
        <v>7.5</v>
      </c>
      <c r="C812" s="26">
        <v>2</v>
      </c>
      <c r="D812" s="26">
        <v>2</v>
      </c>
      <c r="E812" s="26">
        <v>100</v>
      </c>
      <c r="F812" s="26">
        <f t="shared" si="17"/>
        <v>0.02</v>
      </c>
      <c r="G812" s="30"/>
      <c r="I812" s="30"/>
      <c r="J812" s="30"/>
    </row>
    <row r="813" spans="1:10" x14ac:dyDescent="0.25">
      <c r="A813" s="26">
        <v>10</v>
      </c>
      <c r="B813" s="26">
        <v>7.5</v>
      </c>
      <c r="C813" s="26">
        <v>2</v>
      </c>
      <c r="D813" s="26">
        <v>2.5</v>
      </c>
      <c r="E813" s="26">
        <v>125</v>
      </c>
      <c r="F813" s="26">
        <f t="shared" si="17"/>
        <v>0.02</v>
      </c>
      <c r="G813" s="30"/>
      <c r="I813" s="30"/>
      <c r="J813" s="30"/>
    </row>
    <row r="814" spans="1:10" x14ac:dyDescent="0.25">
      <c r="A814" s="26">
        <v>10</v>
      </c>
      <c r="B814" s="26">
        <v>7.5</v>
      </c>
      <c r="C814" s="26">
        <v>2</v>
      </c>
      <c r="D814" s="26">
        <v>3</v>
      </c>
      <c r="E814" s="26">
        <v>150</v>
      </c>
      <c r="F814" s="26">
        <f t="shared" si="17"/>
        <v>0.02</v>
      </c>
      <c r="G814" s="30"/>
      <c r="I814" s="30"/>
      <c r="J814" s="30"/>
    </row>
    <row r="815" spans="1:10" x14ac:dyDescent="0.25">
      <c r="A815" s="26">
        <v>10</v>
      </c>
      <c r="B815" s="26">
        <v>7.5</v>
      </c>
      <c r="C815" s="26">
        <v>2.2000000000000002</v>
      </c>
      <c r="D815" s="26">
        <v>0.5</v>
      </c>
      <c r="E815" s="26">
        <v>26</v>
      </c>
      <c r="F815" s="26">
        <f t="shared" si="17"/>
        <v>1.9230769230769232E-2</v>
      </c>
      <c r="G815" s="30"/>
      <c r="I815" s="30"/>
      <c r="J815" s="30"/>
    </row>
    <row r="816" spans="1:10" x14ac:dyDescent="0.25">
      <c r="A816" s="26">
        <v>10</v>
      </c>
      <c r="B816" s="26">
        <v>7.5</v>
      </c>
      <c r="C816" s="26">
        <v>2.2000000000000002</v>
      </c>
      <c r="D816" s="26">
        <v>1</v>
      </c>
      <c r="E816" s="26">
        <v>51</v>
      </c>
      <c r="F816" s="26">
        <f t="shared" si="17"/>
        <v>1.9607843137254902E-2</v>
      </c>
      <c r="G816" s="30"/>
      <c r="I816" s="30"/>
      <c r="J816" s="30"/>
    </row>
    <row r="817" spans="1:10" x14ac:dyDescent="0.25">
      <c r="A817" s="26">
        <v>10</v>
      </c>
      <c r="B817" s="26">
        <v>7.5</v>
      </c>
      <c r="C817" s="26">
        <v>2.2000000000000002</v>
      </c>
      <c r="D817" s="26">
        <v>1.5</v>
      </c>
      <c r="E817" s="26">
        <v>77</v>
      </c>
      <c r="F817" s="26">
        <f t="shared" si="17"/>
        <v>1.948051948051948E-2</v>
      </c>
      <c r="G817" s="30"/>
      <c r="I817" s="30"/>
      <c r="J817" s="30"/>
    </row>
    <row r="818" spans="1:10" x14ac:dyDescent="0.25">
      <c r="A818" s="26">
        <v>10</v>
      </c>
      <c r="B818" s="26">
        <v>7.5</v>
      </c>
      <c r="C818" s="26">
        <v>2.2000000000000002</v>
      </c>
      <c r="D818" s="26">
        <v>2</v>
      </c>
      <c r="E818" s="26">
        <v>102</v>
      </c>
      <c r="F818" s="26">
        <f t="shared" si="17"/>
        <v>1.9607843137254902E-2</v>
      </c>
      <c r="G818" s="30"/>
      <c r="I818" s="30"/>
      <c r="J818" s="30"/>
    </row>
    <row r="819" spans="1:10" x14ac:dyDescent="0.25">
      <c r="A819" s="26">
        <v>10</v>
      </c>
      <c r="B819" s="26">
        <v>7.5</v>
      </c>
      <c r="C819" s="26">
        <v>2.2000000000000002</v>
      </c>
      <c r="D819" s="26">
        <v>2.5</v>
      </c>
      <c r="E819" s="26">
        <v>128</v>
      </c>
      <c r="F819" s="26">
        <f t="shared" si="17"/>
        <v>1.953125E-2</v>
      </c>
      <c r="G819" s="30"/>
      <c r="I819" s="30"/>
      <c r="J819" s="30"/>
    </row>
    <row r="820" spans="1:10" x14ac:dyDescent="0.25">
      <c r="A820" s="26">
        <v>10</v>
      </c>
      <c r="B820" s="26">
        <v>7.5</v>
      </c>
      <c r="C820" s="26">
        <v>2.2000000000000002</v>
      </c>
      <c r="D820" s="26">
        <v>3</v>
      </c>
      <c r="E820" s="26">
        <v>153</v>
      </c>
      <c r="F820" s="26">
        <f t="shared" si="17"/>
        <v>1.9607843137254902E-2</v>
      </c>
      <c r="G820" s="30"/>
      <c r="I820" s="30"/>
      <c r="J820" s="30"/>
    </row>
    <row r="821" spans="1:10" x14ac:dyDescent="0.25">
      <c r="A821" s="26">
        <v>10</v>
      </c>
      <c r="B821" s="26">
        <v>7.5</v>
      </c>
      <c r="C821" s="26">
        <v>2.4</v>
      </c>
      <c r="D821" s="26">
        <v>0.5</v>
      </c>
      <c r="E821" s="26">
        <v>26</v>
      </c>
      <c r="F821" s="26">
        <f t="shared" si="17"/>
        <v>1.9230769230769232E-2</v>
      </c>
      <c r="G821" s="30"/>
      <c r="I821" s="30"/>
      <c r="J821" s="30"/>
    </row>
    <row r="822" spans="1:10" x14ac:dyDescent="0.25">
      <c r="A822" s="26">
        <v>10</v>
      </c>
      <c r="B822" s="26">
        <v>7.5</v>
      </c>
      <c r="C822" s="26">
        <v>2.4</v>
      </c>
      <c r="D822" s="26">
        <v>1</v>
      </c>
      <c r="E822" s="26">
        <v>52</v>
      </c>
      <c r="F822" s="26">
        <f t="shared" si="17"/>
        <v>1.9230769230769232E-2</v>
      </c>
      <c r="G822" s="30"/>
      <c r="I822" s="30"/>
      <c r="J822" s="30"/>
    </row>
    <row r="823" spans="1:10" x14ac:dyDescent="0.25">
      <c r="A823" s="26">
        <v>10</v>
      </c>
      <c r="B823" s="26">
        <v>7.5</v>
      </c>
      <c r="C823" s="26">
        <v>2.4</v>
      </c>
      <c r="D823" s="26">
        <v>1.5</v>
      </c>
      <c r="E823" s="26">
        <v>79</v>
      </c>
      <c r="F823" s="26">
        <f t="shared" si="17"/>
        <v>1.8987341772151899E-2</v>
      </c>
      <c r="G823" s="30"/>
      <c r="I823" s="30"/>
      <c r="J823" s="30"/>
    </row>
    <row r="824" spans="1:10" x14ac:dyDescent="0.25">
      <c r="A824" s="26">
        <v>10</v>
      </c>
      <c r="B824" s="26">
        <v>7.5</v>
      </c>
      <c r="C824" s="26">
        <v>2.4</v>
      </c>
      <c r="D824" s="26">
        <v>2</v>
      </c>
      <c r="E824" s="26">
        <v>105</v>
      </c>
      <c r="F824" s="26">
        <f t="shared" si="17"/>
        <v>1.9047619047619049E-2</v>
      </c>
      <c r="G824" s="30"/>
      <c r="I824" s="30"/>
      <c r="J824" s="30"/>
    </row>
    <row r="825" spans="1:10" x14ac:dyDescent="0.25">
      <c r="A825" s="26">
        <v>10</v>
      </c>
      <c r="B825" s="26">
        <v>7.5</v>
      </c>
      <c r="C825" s="26">
        <v>2.4</v>
      </c>
      <c r="D825" s="26">
        <v>2.5</v>
      </c>
      <c r="E825" s="26">
        <v>131</v>
      </c>
      <c r="F825" s="26">
        <f t="shared" si="17"/>
        <v>1.9083969465648856E-2</v>
      </c>
      <c r="G825" s="30"/>
      <c r="I825" s="30"/>
      <c r="J825" s="30"/>
    </row>
    <row r="826" spans="1:10" x14ac:dyDescent="0.25">
      <c r="A826" s="26">
        <v>10</v>
      </c>
      <c r="B826" s="26">
        <v>7.5</v>
      </c>
      <c r="C826" s="26">
        <v>2.4</v>
      </c>
      <c r="D826" s="26">
        <v>3</v>
      </c>
      <c r="E826" s="26">
        <v>157</v>
      </c>
      <c r="F826" s="26">
        <f t="shared" si="17"/>
        <v>1.9108280254777069E-2</v>
      </c>
      <c r="G826" s="30"/>
      <c r="I826" s="30"/>
      <c r="J826" s="30"/>
    </row>
    <row r="827" spans="1:10" x14ac:dyDescent="0.25">
      <c r="A827" s="26">
        <v>10</v>
      </c>
      <c r="B827" s="26">
        <v>7.5</v>
      </c>
      <c r="C827" s="26">
        <v>2.6</v>
      </c>
      <c r="D827" s="26">
        <v>0.5</v>
      </c>
      <c r="E827" s="26">
        <v>27</v>
      </c>
      <c r="F827" s="26">
        <f t="shared" si="17"/>
        <v>1.8518518518518517E-2</v>
      </c>
      <c r="G827" s="30"/>
      <c r="I827" s="30"/>
      <c r="J827" s="30"/>
    </row>
    <row r="828" spans="1:10" x14ac:dyDescent="0.25">
      <c r="A828" s="26">
        <v>10</v>
      </c>
      <c r="B828" s="26">
        <v>7.5</v>
      </c>
      <c r="C828" s="26">
        <v>2.6</v>
      </c>
      <c r="D828" s="26">
        <v>1</v>
      </c>
      <c r="E828" s="26">
        <v>53</v>
      </c>
      <c r="F828" s="26">
        <f t="shared" si="17"/>
        <v>1.8867924528301886E-2</v>
      </c>
      <c r="G828" s="30"/>
      <c r="I828" s="30"/>
      <c r="J828" s="30"/>
    </row>
    <row r="829" spans="1:10" x14ac:dyDescent="0.25">
      <c r="A829" s="26">
        <v>10</v>
      </c>
      <c r="B829" s="26">
        <v>7.5</v>
      </c>
      <c r="C829" s="26">
        <v>2.6</v>
      </c>
      <c r="D829" s="26">
        <v>1.5</v>
      </c>
      <c r="E829" s="26">
        <v>80</v>
      </c>
      <c r="F829" s="26">
        <f t="shared" si="17"/>
        <v>1.8749999999999999E-2</v>
      </c>
      <c r="G829" s="30"/>
      <c r="I829" s="30"/>
      <c r="J829" s="30"/>
    </row>
    <row r="830" spans="1:10" x14ac:dyDescent="0.25">
      <c r="A830" s="26">
        <v>10</v>
      </c>
      <c r="B830" s="26">
        <v>7.5</v>
      </c>
      <c r="C830" s="26">
        <v>2.6</v>
      </c>
      <c r="D830" s="26">
        <v>2</v>
      </c>
      <c r="E830" s="26">
        <v>107</v>
      </c>
      <c r="F830" s="26">
        <f t="shared" si="17"/>
        <v>1.8691588785046728E-2</v>
      </c>
      <c r="G830" s="30"/>
      <c r="I830" s="30"/>
      <c r="J830" s="30"/>
    </row>
    <row r="831" spans="1:10" x14ac:dyDescent="0.25">
      <c r="A831" s="26">
        <v>10</v>
      </c>
      <c r="B831" s="26">
        <v>7.5</v>
      </c>
      <c r="C831" s="26">
        <v>2.6</v>
      </c>
      <c r="D831" s="26">
        <v>2.5</v>
      </c>
      <c r="E831" s="26">
        <v>133</v>
      </c>
      <c r="F831" s="26">
        <f t="shared" si="17"/>
        <v>1.8796992481203006E-2</v>
      </c>
      <c r="G831" s="30"/>
      <c r="I831" s="30"/>
      <c r="J831" s="30"/>
    </row>
    <row r="832" spans="1:10" x14ac:dyDescent="0.25">
      <c r="A832" s="26">
        <v>10</v>
      </c>
      <c r="B832" s="26">
        <v>7.5</v>
      </c>
      <c r="C832" s="26">
        <v>2.6</v>
      </c>
      <c r="D832" s="26">
        <v>3</v>
      </c>
      <c r="E832" s="26">
        <v>160</v>
      </c>
      <c r="F832" s="26">
        <f t="shared" si="17"/>
        <v>1.8749999999999999E-2</v>
      </c>
      <c r="G832" s="30"/>
      <c r="I832" s="30"/>
      <c r="J832" s="30"/>
    </row>
    <row r="833" spans="1:10" x14ac:dyDescent="0.25">
      <c r="A833" s="26">
        <v>10</v>
      </c>
      <c r="B833" s="26">
        <v>7.5</v>
      </c>
      <c r="C833" s="26">
        <v>2.8</v>
      </c>
      <c r="D833" s="26">
        <v>0.5</v>
      </c>
      <c r="E833" s="26">
        <v>27</v>
      </c>
      <c r="F833" s="26">
        <f t="shared" si="17"/>
        <v>1.8518518518518517E-2</v>
      </c>
      <c r="G833" s="30"/>
      <c r="I833" s="30"/>
      <c r="J833" s="30"/>
    </row>
    <row r="834" spans="1:10" x14ac:dyDescent="0.25">
      <c r="A834" s="26">
        <v>10</v>
      </c>
      <c r="B834" s="26">
        <v>7.5</v>
      </c>
      <c r="C834" s="26">
        <v>2.8</v>
      </c>
      <c r="D834" s="26">
        <v>1</v>
      </c>
      <c r="E834" s="26">
        <v>54</v>
      </c>
      <c r="F834" s="26">
        <f t="shared" si="17"/>
        <v>1.8518518518518517E-2</v>
      </c>
      <c r="G834" s="30"/>
      <c r="I834" s="30"/>
      <c r="J834" s="30"/>
    </row>
    <row r="835" spans="1:10" x14ac:dyDescent="0.25">
      <c r="A835" s="26">
        <v>10</v>
      </c>
      <c r="B835" s="26">
        <v>7.5</v>
      </c>
      <c r="C835" s="26">
        <v>2.8</v>
      </c>
      <c r="D835" s="26">
        <v>1.5</v>
      </c>
      <c r="E835" s="26">
        <v>82</v>
      </c>
      <c r="F835" s="26">
        <f t="shared" si="17"/>
        <v>1.8292682926829267E-2</v>
      </c>
      <c r="I835" s="30"/>
      <c r="J835" s="30"/>
    </row>
    <row r="836" spans="1:10" x14ac:dyDescent="0.25">
      <c r="A836" s="26">
        <v>10</v>
      </c>
      <c r="B836" s="26">
        <v>7.5</v>
      </c>
      <c r="C836" s="26">
        <v>2.8</v>
      </c>
      <c r="D836" s="26">
        <v>2</v>
      </c>
      <c r="E836" s="26">
        <v>109</v>
      </c>
      <c r="F836" s="26">
        <f t="shared" si="17"/>
        <v>1.834862385321101E-2</v>
      </c>
      <c r="I836" s="30"/>
      <c r="J836" s="30"/>
    </row>
    <row r="837" spans="1:10" x14ac:dyDescent="0.25">
      <c r="A837" s="26">
        <v>10</v>
      </c>
      <c r="B837" s="26">
        <v>7.5</v>
      </c>
      <c r="C837" s="26">
        <v>2.8</v>
      </c>
      <c r="D837" s="26">
        <v>2.5</v>
      </c>
      <c r="E837" s="26">
        <v>136</v>
      </c>
      <c r="F837" s="26">
        <f t="shared" ref="F837:F900" si="18">D837/E837</f>
        <v>1.8382352941176471E-2</v>
      </c>
      <c r="I837" s="30"/>
      <c r="J837" s="30"/>
    </row>
    <row r="838" spans="1:10" x14ac:dyDescent="0.25">
      <c r="A838" s="26">
        <v>10</v>
      </c>
      <c r="B838" s="26">
        <v>7.5</v>
      </c>
      <c r="C838" s="26">
        <v>2.8</v>
      </c>
      <c r="D838" s="26">
        <v>3</v>
      </c>
      <c r="E838" s="26">
        <v>163</v>
      </c>
      <c r="F838" s="26">
        <f t="shared" si="18"/>
        <v>1.8404907975460124E-2</v>
      </c>
      <c r="I838" s="30"/>
      <c r="J838" s="30"/>
    </row>
    <row r="839" spans="1:10" x14ac:dyDescent="0.25">
      <c r="A839" s="26">
        <v>10</v>
      </c>
      <c r="B839" s="26">
        <v>7.5</v>
      </c>
      <c r="C839" s="26">
        <v>3</v>
      </c>
      <c r="D839" s="26">
        <v>0.5</v>
      </c>
      <c r="E839" s="26">
        <v>28</v>
      </c>
      <c r="F839" s="26">
        <f t="shared" si="18"/>
        <v>1.7857142857142856E-2</v>
      </c>
      <c r="I839" s="30"/>
      <c r="J839" s="30"/>
    </row>
    <row r="840" spans="1:10" x14ac:dyDescent="0.25">
      <c r="A840" s="26">
        <v>10</v>
      </c>
      <c r="B840" s="26">
        <v>7.5</v>
      </c>
      <c r="C840" s="26">
        <v>3</v>
      </c>
      <c r="D840" s="26">
        <v>1</v>
      </c>
      <c r="E840" s="26">
        <v>55</v>
      </c>
      <c r="F840" s="26">
        <f t="shared" si="18"/>
        <v>1.8181818181818181E-2</v>
      </c>
      <c r="I840" s="30"/>
      <c r="J840" s="30"/>
    </row>
    <row r="841" spans="1:10" x14ac:dyDescent="0.25">
      <c r="A841" s="26">
        <v>10</v>
      </c>
      <c r="B841" s="26">
        <v>7.5</v>
      </c>
      <c r="C841" s="26">
        <v>3</v>
      </c>
      <c r="D841" s="26">
        <v>1.5</v>
      </c>
      <c r="E841" s="26">
        <v>83</v>
      </c>
      <c r="F841" s="26">
        <f t="shared" si="18"/>
        <v>1.8072289156626505E-2</v>
      </c>
      <c r="I841" s="30"/>
      <c r="J841" s="30"/>
    </row>
    <row r="842" spans="1:10" x14ac:dyDescent="0.25">
      <c r="A842" s="26">
        <v>10</v>
      </c>
      <c r="B842" s="26">
        <v>7.5</v>
      </c>
      <c r="C842" s="26">
        <v>3</v>
      </c>
      <c r="D842" s="26">
        <v>2</v>
      </c>
      <c r="E842" s="26">
        <v>111</v>
      </c>
      <c r="F842" s="26">
        <f t="shared" si="18"/>
        <v>1.8018018018018018E-2</v>
      </c>
      <c r="I842" s="30"/>
      <c r="J842" s="30"/>
    </row>
    <row r="843" spans="1:10" x14ac:dyDescent="0.25">
      <c r="A843" s="26">
        <v>10</v>
      </c>
      <c r="B843" s="26">
        <v>7.5</v>
      </c>
      <c r="C843" s="26">
        <v>3</v>
      </c>
      <c r="D843" s="26">
        <v>2.5</v>
      </c>
      <c r="E843" s="26">
        <v>138</v>
      </c>
      <c r="F843" s="26">
        <f t="shared" si="18"/>
        <v>1.8115942028985508E-2</v>
      </c>
      <c r="I843" s="30"/>
      <c r="J843" s="30"/>
    </row>
    <row r="844" spans="1:10" x14ac:dyDescent="0.25">
      <c r="A844" s="73">
        <v>10</v>
      </c>
      <c r="B844" s="73">
        <v>7.5</v>
      </c>
      <c r="C844" s="73">
        <v>3</v>
      </c>
      <c r="D844" s="73">
        <v>3</v>
      </c>
      <c r="E844" s="73">
        <v>166</v>
      </c>
      <c r="F844" s="73">
        <f t="shared" si="18"/>
        <v>1.8072289156626505E-2</v>
      </c>
      <c r="I844" s="30"/>
      <c r="J844" s="30"/>
    </row>
    <row r="845" spans="1:10" x14ac:dyDescent="0.25">
      <c r="A845" s="26">
        <v>10</v>
      </c>
      <c r="B845" s="26">
        <v>8</v>
      </c>
      <c r="C845" s="26">
        <v>0.4</v>
      </c>
      <c r="D845" s="26">
        <v>0.5</v>
      </c>
      <c r="E845" s="26">
        <v>25</v>
      </c>
      <c r="F845" s="26">
        <f t="shared" si="18"/>
        <v>0.02</v>
      </c>
      <c r="I845" s="30"/>
      <c r="J845" s="30"/>
    </row>
    <row r="846" spans="1:10" x14ac:dyDescent="0.25">
      <c r="A846" s="26">
        <v>10</v>
      </c>
      <c r="B846" s="26">
        <v>8</v>
      </c>
      <c r="C846" s="26">
        <v>0.4</v>
      </c>
      <c r="D846" s="26">
        <v>1</v>
      </c>
      <c r="E846" s="26">
        <v>50</v>
      </c>
      <c r="F846" s="26">
        <f t="shared" si="18"/>
        <v>0.02</v>
      </c>
      <c r="I846" s="30"/>
      <c r="J846" s="30"/>
    </row>
    <row r="847" spans="1:10" x14ac:dyDescent="0.25">
      <c r="A847" s="26">
        <v>10</v>
      </c>
      <c r="B847" s="26">
        <v>8</v>
      </c>
      <c r="C847" s="26">
        <v>0.4</v>
      </c>
      <c r="D847" s="26">
        <v>1.5</v>
      </c>
      <c r="E847" s="26">
        <v>75</v>
      </c>
      <c r="F847" s="26">
        <f t="shared" si="18"/>
        <v>0.02</v>
      </c>
      <c r="I847" s="30"/>
      <c r="J847" s="30"/>
    </row>
    <row r="848" spans="1:10" x14ac:dyDescent="0.25">
      <c r="A848" s="26">
        <v>10</v>
      </c>
      <c r="B848" s="26">
        <v>8</v>
      </c>
      <c r="C848" s="26">
        <v>0.4</v>
      </c>
      <c r="D848" s="26">
        <v>2</v>
      </c>
      <c r="E848" s="26">
        <v>99</v>
      </c>
      <c r="F848" s="26">
        <f t="shared" si="18"/>
        <v>2.0202020202020204E-2</v>
      </c>
      <c r="I848" s="30"/>
      <c r="J848" s="30"/>
    </row>
    <row r="849" spans="1:10" x14ac:dyDescent="0.25">
      <c r="A849" s="26">
        <v>10</v>
      </c>
      <c r="B849" s="26">
        <v>8</v>
      </c>
      <c r="C849" s="26">
        <v>0.4</v>
      </c>
      <c r="D849" s="26">
        <v>2.5</v>
      </c>
      <c r="E849" s="26">
        <v>124</v>
      </c>
      <c r="F849" s="26">
        <f t="shared" si="18"/>
        <v>2.0161290322580645E-2</v>
      </c>
      <c r="I849" s="30"/>
      <c r="J849" s="30"/>
    </row>
    <row r="850" spans="1:10" x14ac:dyDescent="0.25">
      <c r="A850" s="26">
        <v>10</v>
      </c>
      <c r="B850" s="26">
        <v>8</v>
      </c>
      <c r="C850" s="26">
        <v>0.4</v>
      </c>
      <c r="D850" s="26">
        <v>3</v>
      </c>
      <c r="E850" s="26">
        <v>149</v>
      </c>
      <c r="F850" s="26">
        <f t="shared" si="18"/>
        <v>2.0134228187919462E-2</v>
      </c>
      <c r="I850" s="30"/>
      <c r="J850" s="30"/>
    </row>
    <row r="851" spans="1:10" x14ac:dyDescent="0.25">
      <c r="A851" s="26">
        <v>10</v>
      </c>
      <c r="B851" s="26">
        <v>8</v>
      </c>
      <c r="C851" s="26">
        <v>0.6</v>
      </c>
      <c r="D851" s="26">
        <v>0.5</v>
      </c>
      <c r="E851" s="26">
        <v>26</v>
      </c>
      <c r="F851" s="26">
        <f t="shared" si="18"/>
        <v>1.9230769230769232E-2</v>
      </c>
      <c r="I851" s="30"/>
      <c r="J851" s="30"/>
    </row>
    <row r="852" spans="1:10" x14ac:dyDescent="0.25">
      <c r="A852" s="26">
        <v>10</v>
      </c>
      <c r="B852" s="26">
        <v>8</v>
      </c>
      <c r="C852" s="26">
        <v>0.6</v>
      </c>
      <c r="D852" s="26">
        <v>1</v>
      </c>
      <c r="E852" s="26">
        <v>51</v>
      </c>
      <c r="F852" s="26">
        <f t="shared" si="18"/>
        <v>1.9607843137254902E-2</v>
      </c>
      <c r="I852" s="30"/>
      <c r="J852" s="30"/>
    </row>
    <row r="853" spans="1:10" x14ac:dyDescent="0.25">
      <c r="A853" s="26">
        <v>10</v>
      </c>
      <c r="B853" s="26">
        <v>8</v>
      </c>
      <c r="C853" s="26">
        <v>0.6</v>
      </c>
      <c r="D853" s="26">
        <v>1.5</v>
      </c>
      <c r="E853" s="26">
        <v>77</v>
      </c>
      <c r="F853" s="26">
        <f t="shared" si="18"/>
        <v>1.948051948051948E-2</v>
      </c>
      <c r="I853" s="30"/>
      <c r="J853" s="30"/>
    </row>
    <row r="854" spans="1:10" x14ac:dyDescent="0.25">
      <c r="A854" s="26">
        <v>10</v>
      </c>
      <c r="B854" s="26">
        <v>8</v>
      </c>
      <c r="C854" s="26">
        <v>0.6</v>
      </c>
      <c r="D854" s="26">
        <v>2</v>
      </c>
      <c r="E854" s="26">
        <v>102</v>
      </c>
      <c r="F854" s="26">
        <f t="shared" si="18"/>
        <v>1.9607843137254902E-2</v>
      </c>
      <c r="I854" s="30"/>
      <c r="J854" s="30"/>
    </row>
    <row r="855" spans="1:10" x14ac:dyDescent="0.25">
      <c r="A855" s="26">
        <v>10</v>
      </c>
      <c r="B855" s="26">
        <v>8</v>
      </c>
      <c r="C855" s="26">
        <v>0.6</v>
      </c>
      <c r="D855" s="26">
        <v>2.5</v>
      </c>
      <c r="E855" s="26">
        <v>128</v>
      </c>
      <c r="F855" s="26">
        <f t="shared" si="18"/>
        <v>1.953125E-2</v>
      </c>
      <c r="I855" s="30"/>
      <c r="J855" s="30"/>
    </row>
    <row r="856" spans="1:10" x14ac:dyDescent="0.25">
      <c r="A856" s="26">
        <v>10</v>
      </c>
      <c r="B856" s="26">
        <v>8</v>
      </c>
      <c r="C856" s="26">
        <v>0.6</v>
      </c>
      <c r="D856" s="26">
        <v>3</v>
      </c>
      <c r="E856" s="26">
        <v>153</v>
      </c>
      <c r="F856" s="26">
        <f t="shared" si="18"/>
        <v>1.9607843137254902E-2</v>
      </c>
      <c r="I856" s="30"/>
      <c r="J856" s="30"/>
    </row>
    <row r="857" spans="1:10" x14ac:dyDescent="0.25">
      <c r="A857" s="26">
        <v>10</v>
      </c>
      <c r="B857" s="26">
        <v>8</v>
      </c>
      <c r="C857" s="26">
        <v>0.8</v>
      </c>
      <c r="D857" s="26">
        <v>0.5</v>
      </c>
      <c r="E857" s="26">
        <v>26</v>
      </c>
      <c r="F857" s="26">
        <f t="shared" si="18"/>
        <v>1.9230769230769232E-2</v>
      </c>
      <c r="I857" s="30"/>
      <c r="J857" s="30"/>
    </row>
    <row r="858" spans="1:10" x14ac:dyDescent="0.25">
      <c r="A858" s="26">
        <v>10</v>
      </c>
      <c r="B858" s="26">
        <v>8</v>
      </c>
      <c r="C858" s="26">
        <v>0.8</v>
      </c>
      <c r="D858" s="26">
        <v>1</v>
      </c>
      <c r="E858" s="26">
        <v>53</v>
      </c>
      <c r="F858" s="26">
        <f t="shared" si="18"/>
        <v>1.8867924528301886E-2</v>
      </c>
      <c r="I858" s="30"/>
      <c r="J858" s="30"/>
    </row>
    <row r="859" spans="1:10" x14ac:dyDescent="0.25">
      <c r="A859" s="26">
        <v>10</v>
      </c>
      <c r="B859" s="26">
        <v>8</v>
      </c>
      <c r="C859" s="26">
        <v>0.8</v>
      </c>
      <c r="D859" s="26">
        <v>1.5</v>
      </c>
      <c r="E859" s="26">
        <v>79</v>
      </c>
      <c r="F859" s="26">
        <f t="shared" si="18"/>
        <v>1.8987341772151899E-2</v>
      </c>
      <c r="I859" s="30"/>
      <c r="J859" s="30"/>
    </row>
    <row r="860" spans="1:10" x14ac:dyDescent="0.25">
      <c r="A860" s="26">
        <v>10</v>
      </c>
      <c r="B860" s="26">
        <v>8</v>
      </c>
      <c r="C860" s="26">
        <v>0.8</v>
      </c>
      <c r="D860" s="26">
        <v>2</v>
      </c>
      <c r="E860" s="26">
        <v>105</v>
      </c>
      <c r="F860" s="26">
        <f t="shared" si="18"/>
        <v>1.9047619047619049E-2</v>
      </c>
      <c r="I860" s="30"/>
      <c r="J860" s="30"/>
    </row>
    <row r="861" spans="1:10" x14ac:dyDescent="0.25">
      <c r="A861" s="26">
        <v>10</v>
      </c>
      <c r="B861" s="26">
        <v>8</v>
      </c>
      <c r="C861" s="26">
        <v>0.8</v>
      </c>
      <c r="D861" s="26">
        <v>2.5</v>
      </c>
      <c r="E861" s="26">
        <v>132</v>
      </c>
      <c r="F861" s="26">
        <f t="shared" si="18"/>
        <v>1.893939393939394E-2</v>
      </c>
      <c r="I861" s="30"/>
      <c r="J861" s="30"/>
    </row>
    <row r="862" spans="1:10" x14ac:dyDescent="0.25">
      <c r="A862" s="26">
        <v>10</v>
      </c>
      <c r="B862" s="26">
        <v>8</v>
      </c>
      <c r="C862" s="26">
        <v>0.8</v>
      </c>
      <c r="D862" s="26">
        <v>3</v>
      </c>
      <c r="E862" s="26">
        <v>158</v>
      </c>
      <c r="F862" s="26">
        <f t="shared" si="18"/>
        <v>1.8987341772151899E-2</v>
      </c>
      <c r="I862" s="30"/>
      <c r="J862" s="30"/>
    </row>
    <row r="863" spans="1:10" x14ac:dyDescent="0.25">
      <c r="A863" s="26">
        <v>10</v>
      </c>
      <c r="B863" s="26">
        <v>8</v>
      </c>
      <c r="C863" s="26">
        <v>1</v>
      </c>
      <c r="D863" s="26">
        <v>0.5</v>
      </c>
      <c r="E863" s="26">
        <v>27</v>
      </c>
      <c r="F863" s="26">
        <f t="shared" si="18"/>
        <v>1.8518518518518517E-2</v>
      </c>
      <c r="I863" s="30"/>
      <c r="J863" s="30"/>
    </row>
    <row r="864" spans="1:10" x14ac:dyDescent="0.25">
      <c r="A864" s="26">
        <v>10</v>
      </c>
      <c r="B864" s="26">
        <v>8</v>
      </c>
      <c r="C864" s="26">
        <v>1</v>
      </c>
      <c r="D864" s="26">
        <v>1</v>
      </c>
      <c r="E864" s="26">
        <v>54</v>
      </c>
      <c r="F864" s="26">
        <f t="shared" si="18"/>
        <v>1.8518518518518517E-2</v>
      </c>
      <c r="I864" s="30"/>
      <c r="J864" s="30"/>
    </row>
    <row r="865" spans="1:10" x14ac:dyDescent="0.25">
      <c r="A865" s="26">
        <v>10</v>
      </c>
      <c r="B865" s="26">
        <v>8</v>
      </c>
      <c r="C865" s="26">
        <v>1</v>
      </c>
      <c r="D865" s="26">
        <v>1.5</v>
      </c>
      <c r="E865" s="26">
        <v>81</v>
      </c>
      <c r="F865" s="26">
        <f t="shared" si="18"/>
        <v>1.8518518518518517E-2</v>
      </c>
      <c r="I865" s="30"/>
      <c r="J865" s="30"/>
    </row>
    <row r="866" spans="1:10" x14ac:dyDescent="0.25">
      <c r="A866" s="26">
        <v>10</v>
      </c>
      <c r="B866" s="26">
        <v>8</v>
      </c>
      <c r="C866" s="26">
        <v>1</v>
      </c>
      <c r="D866" s="26">
        <v>2</v>
      </c>
      <c r="E866" s="26">
        <v>108</v>
      </c>
      <c r="F866" s="26">
        <f t="shared" si="18"/>
        <v>1.8518518518518517E-2</v>
      </c>
      <c r="I866" s="30"/>
      <c r="J866" s="30"/>
    </row>
    <row r="867" spans="1:10" x14ac:dyDescent="0.25">
      <c r="A867" s="26">
        <v>10</v>
      </c>
      <c r="B867" s="26">
        <v>8</v>
      </c>
      <c r="C867" s="26">
        <v>1</v>
      </c>
      <c r="D867" s="26">
        <v>2.5</v>
      </c>
      <c r="E867" s="26">
        <v>135</v>
      </c>
      <c r="F867" s="26">
        <f t="shared" si="18"/>
        <v>1.8518518518518517E-2</v>
      </c>
      <c r="I867" s="30"/>
      <c r="J867" s="30"/>
    </row>
    <row r="868" spans="1:10" x14ac:dyDescent="0.25">
      <c r="A868" s="26">
        <v>10</v>
      </c>
      <c r="B868" s="26">
        <v>8</v>
      </c>
      <c r="C868" s="26">
        <v>1</v>
      </c>
      <c r="D868" s="26">
        <v>3</v>
      </c>
      <c r="E868" s="26">
        <v>162</v>
      </c>
      <c r="F868" s="26">
        <f t="shared" si="18"/>
        <v>1.8518518518518517E-2</v>
      </c>
      <c r="I868" s="30"/>
      <c r="J868" s="30"/>
    </row>
    <row r="869" spans="1:10" x14ac:dyDescent="0.25">
      <c r="A869" s="26">
        <v>10</v>
      </c>
      <c r="B869" s="26">
        <v>8</v>
      </c>
      <c r="C869" s="26">
        <v>1.2</v>
      </c>
      <c r="D869" s="26">
        <v>0.5</v>
      </c>
      <c r="E869" s="26">
        <v>28</v>
      </c>
      <c r="F869" s="26">
        <f t="shared" si="18"/>
        <v>1.7857142857142856E-2</v>
      </c>
      <c r="I869" s="30"/>
      <c r="J869" s="30"/>
    </row>
    <row r="870" spans="1:10" x14ac:dyDescent="0.25">
      <c r="A870" s="26">
        <v>10</v>
      </c>
      <c r="B870" s="26">
        <v>8</v>
      </c>
      <c r="C870" s="26">
        <v>1.2</v>
      </c>
      <c r="D870" s="26">
        <v>1</v>
      </c>
      <c r="E870" s="26">
        <v>55</v>
      </c>
      <c r="F870" s="26">
        <f t="shared" si="18"/>
        <v>1.8181818181818181E-2</v>
      </c>
      <c r="I870" s="30"/>
      <c r="J870" s="30"/>
    </row>
    <row r="871" spans="1:10" x14ac:dyDescent="0.25">
      <c r="A871" s="26">
        <v>10</v>
      </c>
      <c r="B871" s="26">
        <v>8</v>
      </c>
      <c r="C871" s="26">
        <v>1.2</v>
      </c>
      <c r="D871" s="26">
        <v>1.5</v>
      </c>
      <c r="E871" s="26">
        <v>83</v>
      </c>
      <c r="F871" s="26">
        <f t="shared" si="18"/>
        <v>1.8072289156626505E-2</v>
      </c>
      <c r="I871" s="30"/>
      <c r="J871" s="30"/>
    </row>
    <row r="872" spans="1:10" x14ac:dyDescent="0.25">
      <c r="A872" s="26">
        <v>10</v>
      </c>
      <c r="B872" s="26">
        <v>8</v>
      </c>
      <c r="C872" s="26">
        <v>1.2</v>
      </c>
      <c r="D872" s="26">
        <v>2</v>
      </c>
      <c r="E872" s="26">
        <v>111</v>
      </c>
      <c r="F872" s="26">
        <f t="shared" si="18"/>
        <v>1.8018018018018018E-2</v>
      </c>
      <c r="I872" s="30"/>
      <c r="J872" s="30"/>
    </row>
    <row r="873" spans="1:10" x14ac:dyDescent="0.25">
      <c r="A873" s="26">
        <v>10</v>
      </c>
      <c r="B873" s="26">
        <v>8</v>
      </c>
      <c r="C873" s="26">
        <v>1.2</v>
      </c>
      <c r="D873" s="26">
        <v>2.5</v>
      </c>
      <c r="E873" s="26">
        <v>138</v>
      </c>
      <c r="F873" s="26">
        <f t="shared" si="18"/>
        <v>1.8115942028985508E-2</v>
      </c>
      <c r="I873" s="30"/>
      <c r="J873" s="30"/>
    </row>
    <row r="874" spans="1:10" x14ac:dyDescent="0.25">
      <c r="A874" s="26">
        <v>10</v>
      </c>
      <c r="B874" s="26">
        <v>8</v>
      </c>
      <c r="C874" s="26">
        <v>1.2</v>
      </c>
      <c r="D874" s="26">
        <v>3</v>
      </c>
      <c r="E874" s="26">
        <v>166</v>
      </c>
      <c r="F874" s="26">
        <f t="shared" si="18"/>
        <v>1.8072289156626505E-2</v>
      </c>
      <c r="I874" s="30"/>
      <c r="J874" s="30"/>
    </row>
    <row r="875" spans="1:10" x14ac:dyDescent="0.25">
      <c r="A875" s="26">
        <v>10</v>
      </c>
      <c r="B875" s="26">
        <v>8</v>
      </c>
      <c r="C875" s="26">
        <v>1.4</v>
      </c>
      <c r="D875" s="26">
        <v>0.5</v>
      </c>
      <c r="E875" s="26">
        <v>28</v>
      </c>
      <c r="F875" s="26">
        <f t="shared" si="18"/>
        <v>1.7857142857142856E-2</v>
      </c>
      <c r="I875" s="30"/>
      <c r="J875" s="30"/>
    </row>
    <row r="876" spans="1:10" x14ac:dyDescent="0.25">
      <c r="A876" s="26">
        <v>10</v>
      </c>
      <c r="B876" s="26">
        <v>8</v>
      </c>
      <c r="C876" s="26">
        <v>1.4</v>
      </c>
      <c r="D876" s="26">
        <v>1</v>
      </c>
      <c r="E876" s="26">
        <v>57</v>
      </c>
      <c r="F876" s="26">
        <f t="shared" si="18"/>
        <v>1.7543859649122806E-2</v>
      </c>
      <c r="I876" s="30"/>
      <c r="J876" s="30"/>
    </row>
    <row r="877" spans="1:10" x14ac:dyDescent="0.25">
      <c r="A877" s="26">
        <v>10</v>
      </c>
      <c r="B877" s="26">
        <v>8</v>
      </c>
      <c r="C877" s="26">
        <v>1.4</v>
      </c>
      <c r="D877" s="26">
        <v>1.5</v>
      </c>
      <c r="E877" s="26">
        <v>85</v>
      </c>
      <c r="F877" s="26">
        <f t="shared" si="18"/>
        <v>1.7647058823529412E-2</v>
      </c>
      <c r="I877" s="30"/>
      <c r="J877" s="30"/>
    </row>
    <row r="878" spans="1:10" x14ac:dyDescent="0.25">
      <c r="A878" s="26">
        <v>10</v>
      </c>
      <c r="B878" s="26">
        <v>8</v>
      </c>
      <c r="C878" s="26">
        <v>1.4</v>
      </c>
      <c r="D878" s="26">
        <v>2</v>
      </c>
      <c r="E878" s="26">
        <v>113</v>
      </c>
      <c r="F878" s="26">
        <f t="shared" si="18"/>
        <v>1.7699115044247787E-2</v>
      </c>
      <c r="I878" s="30"/>
      <c r="J878" s="30"/>
    </row>
    <row r="879" spans="1:10" x14ac:dyDescent="0.25">
      <c r="A879" s="26">
        <v>10</v>
      </c>
      <c r="B879" s="26">
        <v>8</v>
      </c>
      <c r="C879" s="26">
        <v>1.4</v>
      </c>
      <c r="D879" s="26">
        <v>2.5</v>
      </c>
      <c r="E879" s="26">
        <v>142</v>
      </c>
      <c r="F879" s="26">
        <f t="shared" si="18"/>
        <v>1.7605633802816902E-2</v>
      </c>
      <c r="I879" s="30"/>
      <c r="J879" s="30"/>
    </row>
    <row r="880" spans="1:10" x14ac:dyDescent="0.25">
      <c r="A880" s="26">
        <v>10</v>
      </c>
      <c r="B880" s="26">
        <v>8</v>
      </c>
      <c r="C880" s="26">
        <v>1.4</v>
      </c>
      <c r="D880" s="26">
        <v>3</v>
      </c>
      <c r="E880" s="26">
        <v>170</v>
      </c>
      <c r="F880" s="26">
        <f t="shared" si="18"/>
        <v>1.7647058823529412E-2</v>
      </c>
      <c r="I880" s="30"/>
      <c r="J880" s="30"/>
    </row>
    <row r="881" spans="1:10" x14ac:dyDescent="0.25">
      <c r="A881" s="26">
        <v>10</v>
      </c>
      <c r="B881" s="26">
        <v>8</v>
      </c>
      <c r="C881" s="26">
        <v>1.6</v>
      </c>
      <c r="D881" s="26">
        <v>0.5</v>
      </c>
      <c r="E881" s="26">
        <v>29</v>
      </c>
      <c r="F881" s="26">
        <f t="shared" si="18"/>
        <v>1.7241379310344827E-2</v>
      </c>
      <c r="I881" s="30"/>
      <c r="J881" s="30"/>
    </row>
    <row r="882" spans="1:10" x14ac:dyDescent="0.25">
      <c r="A882" s="26">
        <v>10</v>
      </c>
      <c r="B882" s="26">
        <v>8</v>
      </c>
      <c r="C882" s="26">
        <v>1.6</v>
      </c>
      <c r="D882" s="26">
        <v>1</v>
      </c>
      <c r="E882" s="26">
        <v>58</v>
      </c>
      <c r="F882" s="26">
        <f t="shared" si="18"/>
        <v>1.7241379310344827E-2</v>
      </c>
      <c r="I882" s="30"/>
      <c r="J882" s="30"/>
    </row>
    <row r="883" spans="1:10" x14ac:dyDescent="0.25">
      <c r="A883" s="26">
        <v>10</v>
      </c>
      <c r="B883" s="26">
        <v>8</v>
      </c>
      <c r="C883" s="26">
        <v>1.6</v>
      </c>
      <c r="D883" s="26">
        <v>1.5</v>
      </c>
      <c r="E883" s="26">
        <v>87</v>
      </c>
      <c r="F883" s="26">
        <f t="shared" si="18"/>
        <v>1.7241379310344827E-2</v>
      </c>
      <c r="I883" s="30"/>
      <c r="J883" s="30"/>
    </row>
    <row r="884" spans="1:10" x14ac:dyDescent="0.25">
      <c r="A884" s="26">
        <v>10</v>
      </c>
      <c r="B884" s="26">
        <v>8</v>
      </c>
      <c r="C884" s="26">
        <v>1.6</v>
      </c>
      <c r="D884" s="26">
        <v>2</v>
      </c>
      <c r="E884" s="26">
        <v>116</v>
      </c>
      <c r="F884" s="26">
        <f t="shared" si="18"/>
        <v>1.7241379310344827E-2</v>
      </c>
      <c r="I884" s="30"/>
      <c r="J884" s="30"/>
    </row>
    <row r="885" spans="1:10" x14ac:dyDescent="0.25">
      <c r="A885" s="26">
        <v>10</v>
      </c>
      <c r="B885" s="26">
        <v>8</v>
      </c>
      <c r="C885" s="26">
        <v>1.6</v>
      </c>
      <c r="D885" s="26">
        <v>2.5</v>
      </c>
      <c r="E885" s="26">
        <v>145</v>
      </c>
      <c r="F885" s="26">
        <f t="shared" si="18"/>
        <v>1.7241379310344827E-2</v>
      </c>
      <c r="I885" s="30"/>
      <c r="J885" s="30"/>
    </row>
    <row r="886" spans="1:10" x14ac:dyDescent="0.25">
      <c r="A886" s="26">
        <v>10</v>
      </c>
      <c r="B886" s="26">
        <v>8</v>
      </c>
      <c r="C886" s="26">
        <v>1.6</v>
      </c>
      <c r="D886" s="26">
        <v>3</v>
      </c>
      <c r="E886" s="26">
        <v>174</v>
      </c>
      <c r="F886" s="26">
        <f t="shared" si="18"/>
        <v>1.7241379310344827E-2</v>
      </c>
      <c r="I886" s="30"/>
      <c r="J886" s="30"/>
    </row>
    <row r="887" spans="1:10" x14ac:dyDescent="0.25">
      <c r="A887" s="26">
        <v>10</v>
      </c>
      <c r="B887" s="26">
        <v>8</v>
      </c>
      <c r="C887" s="26">
        <v>1.8</v>
      </c>
      <c r="D887" s="26">
        <v>0.5</v>
      </c>
      <c r="E887" s="26">
        <v>30</v>
      </c>
      <c r="F887" s="26">
        <f t="shared" si="18"/>
        <v>1.6666666666666666E-2</v>
      </c>
      <c r="I887" s="30"/>
      <c r="J887" s="30"/>
    </row>
    <row r="888" spans="1:10" x14ac:dyDescent="0.25">
      <c r="A888" s="26">
        <v>10</v>
      </c>
      <c r="B888" s="26">
        <v>8</v>
      </c>
      <c r="C888" s="26">
        <v>1.8</v>
      </c>
      <c r="D888" s="26">
        <v>1</v>
      </c>
      <c r="E888" s="26">
        <v>60</v>
      </c>
      <c r="F888" s="26">
        <f t="shared" si="18"/>
        <v>1.6666666666666666E-2</v>
      </c>
      <c r="I888" s="30"/>
      <c r="J888" s="30"/>
    </row>
    <row r="889" spans="1:10" x14ac:dyDescent="0.25">
      <c r="A889" s="26">
        <v>10</v>
      </c>
      <c r="B889" s="26">
        <v>8</v>
      </c>
      <c r="C889" s="26">
        <v>1.8</v>
      </c>
      <c r="D889" s="26">
        <v>1.5</v>
      </c>
      <c r="E889" s="26">
        <v>90</v>
      </c>
      <c r="F889" s="26">
        <f t="shared" si="18"/>
        <v>1.6666666666666666E-2</v>
      </c>
      <c r="I889" s="30"/>
      <c r="J889" s="30"/>
    </row>
    <row r="890" spans="1:10" x14ac:dyDescent="0.25">
      <c r="A890" s="26">
        <v>10</v>
      </c>
      <c r="B890" s="26">
        <v>8</v>
      </c>
      <c r="C890" s="26">
        <v>1.8</v>
      </c>
      <c r="D890" s="26">
        <v>2</v>
      </c>
      <c r="E890" s="26">
        <v>119</v>
      </c>
      <c r="F890" s="26">
        <f t="shared" si="18"/>
        <v>1.680672268907563E-2</v>
      </c>
      <c r="I890" s="30"/>
      <c r="J890" s="30"/>
    </row>
    <row r="891" spans="1:10" x14ac:dyDescent="0.25">
      <c r="A891" s="26">
        <v>10</v>
      </c>
      <c r="B891" s="26">
        <v>8</v>
      </c>
      <c r="C891" s="26">
        <v>1.8</v>
      </c>
      <c r="D891" s="26">
        <v>2.5</v>
      </c>
      <c r="E891" s="26">
        <v>149</v>
      </c>
      <c r="F891" s="26">
        <f t="shared" si="18"/>
        <v>1.6778523489932886E-2</v>
      </c>
      <c r="I891" s="30"/>
      <c r="J891" s="30"/>
    </row>
    <row r="892" spans="1:10" x14ac:dyDescent="0.25">
      <c r="A892" s="26">
        <v>10</v>
      </c>
      <c r="B892" s="26">
        <v>8</v>
      </c>
      <c r="C892" s="26">
        <v>1.8</v>
      </c>
      <c r="D892" s="26">
        <v>3</v>
      </c>
      <c r="E892" s="26">
        <v>179</v>
      </c>
      <c r="F892" s="26">
        <f t="shared" si="18"/>
        <v>1.6759776536312849E-2</v>
      </c>
      <c r="I892" s="30"/>
      <c r="J892" s="30"/>
    </row>
    <row r="893" spans="1:10" x14ac:dyDescent="0.25">
      <c r="A893" s="26">
        <v>10</v>
      </c>
      <c r="B893" s="26">
        <v>8</v>
      </c>
      <c r="C893" s="26">
        <v>2</v>
      </c>
      <c r="D893" s="26">
        <v>0.5</v>
      </c>
      <c r="E893" s="26">
        <v>30</v>
      </c>
      <c r="F893" s="26">
        <f t="shared" si="18"/>
        <v>1.6666666666666666E-2</v>
      </c>
      <c r="I893" s="30"/>
      <c r="J893" s="30"/>
    </row>
    <row r="894" spans="1:10" x14ac:dyDescent="0.25">
      <c r="A894" s="26">
        <v>10</v>
      </c>
      <c r="B894" s="26">
        <v>8</v>
      </c>
      <c r="C894" s="26">
        <v>2</v>
      </c>
      <c r="D894" s="26">
        <v>1</v>
      </c>
      <c r="E894" s="26">
        <v>61</v>
      </c>
      <c r="F894" s="26">
        <f t="shared" si="18"/>
        <v>1.6393442622950821E-2</v>
      </c>
      <c r="I894" s="30"/>
      <c r="J894" s="30"/>
    </row>
    <row r="895" spans="1:10" x14ac:dyDescent="0.25">
      <c r="A895" s="26">
        <v>10</v>
      </c>
      <c r="B895" s="26">
        <v>8</v>
      </c>
      <c r="C895" s="26">
        <v>2</v>
      </c>
      <c r="D895" s="26">
        <v>1.5</v>
      </c>
      <c r="E895" s="26">
        <v>91</v>
      </c>
      <c r="F895" s="26">
        <f t="shared" si="18"/>
        <v>1.6483516483516484E-2</v>
      </c>
      <c r="I895" s="30"/>
      <c r="J895" s="30"/>
    </row>
    <row r="896" spans="1:10" x14ac:dyDescent="0.25">
      <c r="A896" s="26">
        <v>10</v>
      </c>
      <c r="B896" s="26">
        <v>8</v>
      </c>
      <c r="C896" s="26">
        <v>2</v>
      </c>
      <c r="D896" s="26">
        <v>2</v>
      </c>
      <c r="E896" s="26">
        <v>121</v>
      </c>
      <c r="F896" s="26">
        <f t="shared" si="18"/>
        <v>1.6528925619834711E-2</v>
      </c>
      <c r="I896" s="30"/>
      <c r="J896" s="30"/>
    </row>
    <row r="897" spans="1:10" x14ac:dyDescent="0.25">
      <c r="A897" s="26">
        <v>10</v>
      </c>
      <c r="B897" s="26">
        <v>8</v>
      </c>
      <c r="C897" s="26">
        <v>2</v>
      </c>
      <c r="D897" s="26">
        <v>2.5</v>
      </c>
      <c r="E897" s="26">
        <v>152</v>
      </c>
      <c r="F897" s="26">
        <f t="shared" si="18"/>
        <v>1.6447368421052631E-2</v>
      </c>
      <c r="I897" s="30"/>
      <c r="J897" s="30"/>
    </row>
    <row r="898" spans="1:10" x14ac:dyDescent="0.25">
      <c r="A898" s="26">
        <v>10</v>
      </c>
      <c r="B898" s="26">
        <v>8</v>
      </c>
      <c r="C898" s="26">
        <v>2</v>
      </c>
      <c r="D898" s="26">
        <v>3</v>
      </c>
      <c r="E898" s="26">
        <v>182</v>
      </c>
      <c r="F898" s="26">
        <f t="shared" si="18"/>
        <v>1.6483516483516484E-2</v>
      </c>
      <c r="I898" s="30"/>
      <c r="J898" s="30"/>
    </row>
    <row r="899" spans="1:10" x14ac:dyDescent="0.25">
      <c r="A899" s="26">
        <v>10</v>
      </c>
      <c r="B899" s="26">
        <v>8</v>
      </c>
      <c r="C899" s="26">
        <v>2.2000000000000002</v>
      </c>
      <c r="D899" s="26">
        <v>0.5</v>
      </c>
      <c r="E899" s="26">
        <v>31</v>
      </c>
      <c r="F899" s="26">
        <f t="shared" si="18"/>
        <v>1.6129032258064516E-2</v>
      </c>
      <c r="I899" s="30"/>
      <c r="J899" s="30"/>
    </row>
    <row r="900" spans="1:10" x14ac:dyDescent="0.25">
      <c r="A900" s="26">
        <v>10</v>
      </c>
      <c r="B900" s="26">
        <v>8</v>
      </c>
      <c r="C900" s="26">
        <v>2.2000000000000002</v>
      </c>
      <c r="D900" s="26">
        <v>1</v>
      </c>
      <c r="E900" s="26">
        <v>62</v>
      </c>
      <c r="F900" s="26">
        <f t="shared" si="18"/>
        <v>1.6129032258064516E-2</v>
      </c>
      <c r="I900" s="30"/>
      <c r="J900" s="30"/>
    </row>
    <row r="901" spans="1:10" x14ac:dyDescent="0.25">
      <c r="A901" s="26">
        <v>10</v>
      </c>
      <c r="B901" s="26">
        <v>8</v>
      </c>
      <c r="C901" s="26">
        <v>2.2000000000000002</v>
      </c>
      <c r="D901" s="26">
        <v>1.5</v>
      </c>
      <c r="E901" s="26">
        <v>93</v>
      </c>
      <c r="F901" s="26">
        <f t="shared" ref="F901:F964" si="19">D901/E901</f>
        <v>1.6129032258064516E-2</v>
      </c>
      <c r="I901" s="30"/>
      <c r="J901" s="30"/>
    </row>
    <row r="902" spans="1:10" x14ac:dyDescent="0.25">
      <c r="A902" s="26">
        <v>10</v>
      </c>
      <c r="B902" s="26">
        <v>8</v>
      </c>
      <c r="C902" s="26">
        <v>2.2000000000000002</v>
      </c>
      <c r="D902" s="26">
        <v>2</v>
      </c>
      <c r="E902" s="26">
        <v>124</v>
      </c>
      <c r="F902" s="26">
        <f t="shared" si="19"/>
        <v>1.6129032258064516E-2</v>
      </c>
      <c r="I902" s="30"/>
      <c r="J902" s="30"/>
    </row>
    <row r="903" spans="1:10" x14ac:dyDescent="0.25">
      <c r="A903" s="26">
        <v>10</v>
      </c>
      <c r="B903" s="26">
        <v>8</v>
      </c>
      <c r="C903" s="26">
        <v>2.2000000000000002</v>
      </c>
      <c r="D903" s="26">
        <v>2.5</v>
      </c>
      <c r="E903" s="26">
        <v>155</v>
      </c>
      <c r="F903" s="26">
        <f t="shared" si="19"/>
        <v>1.6129032258064516E-2</v>
      </c>
      <c r="I903" s="30"/>
      <c r="J903" s="30"/>
    </row>
    <row r="904" spans="1:10" x14ac:dyDescent="0.25">
      <c r="A904" s="26">
        <v>10</v>
      </c>
      <c r="B904" s="26">
        <v>8</v>
      </c>
      <c r="C904" s="26">
        <v>2.2000000000000002</v>
      </c>
      <c r="D904" s="26">
        <v>3</v>
      </c>
      <c r="E904" s="26">
        <v>186</v>
      </c>
      <c r="F904" s="26">
        <f t="shared" si="19"/>
        <v>1.6129032258064516E-2</v>
      </c>
      <c r="I904" s="30"/>
      <c r="J904" s="30"/>
    </row>
    <row r="905" spans="1:10" x14ac:dyDescent="0.25">
      <c r="A905" s="26">
        <v>10</v>
      </c>
      <c r="B905" s="26">
        <v>8</v>
      </c>
      <c r="C905" s="26">
        <v>2.4</v>
      </c>
      <c r="D905" s="26">
        <v>0.5</v>
      </c>
      <c r="E905" s="26">
        <v>32</v>
      </c>
      <c r="F905" s="26">
        <f t="shared" si="19"/>
        <v>1.5625E-2</v>
      </c>
      <c r="I905" s="30"/>
      <c r="J905" s="30"/>
    </row>
    <row r="906" spans="1:10" x14ac:dyDescent="0.25">
      <c r="A906" s="26">
        <v>10</v>
      </c>
      <c r="B906" s="26">
        <v>8</v>
      </c>
      <c r="C906" s="26">
        <v>2.4</v>
      </c>
      <c r="D906" s="26">
        <v>1</v>
      </c>
      <c r="E906" s="26">
        <v>63</v>
      </c>
      <c r="F906" s="26">
        <f t="shared" si="19"/>
        <v>1.5873015873015872E-2</v>
      </c>
      <c r="I906" s="30"/>
      <c r="J906" s="30"/>
    </row>
    <row r="907" spans="1:10" x14ac:dyDescent="0.25">
      <c r="A907" s="26">
        <v>10</v>
      </c>
      <c r="B907" s="26">
        <v>8</v>
      </c>
      <c r="C907" s="26">
        <v>2.4</v>
      </c>
      <c r="D907" s="26">
        <v>1.5</v>
      </c>
      <c r="E907" s="26">
        <v>95</v>
      </c>
      <c r="F907" s="26">
        <f t="shared" si="19"/>
        <v>1.5789473684210527E-2</v>
      </c>
      <c r="I907" s="30"/>
      <c r="J907" s="30"/>
    </row>
    <row r="908" spans="1:10" x14ac:dyDescent="0.25">
      <c r="A908" s="26">
        <v>10</v>
      </c>
      <c r="B908" s="26">
        <v>8</v>
      </c>
      <c r="C908" s="26">
        <v>2.4</v>
      </c>
      <c r="D908" s="26">
        <v>2</v>
      </c>
      <c r="E908" s="26">
        <v>127</v>
      </c>
      <c r="F908" s="26">
        <f t="shared" si="19"/>
        <v>1.5748031496062992E-2</v>
      </c>
      <c r="I908" s="30"/>
      <c r="J908" s="30"/>
    </row>
    <row r="909" spans="1:10" x14ac:dyDescent="0.25">
      <c r="A909" s="26">
        <v>10</v>
      </c>
      <c r="B909" s="26">
        <v>8</v>
      </c>
      <c r="C909" s="26">
        <v>2.4</v>
      </c>
      <c r="D909" s="26">
        <v>2.5</v>
      </c>
      <c r="E909" s="26">
        <v>158</v>
      </c>
      <c r="F909" s="26">
        <f t="shared" si="19"/>
        <v>1.5822784810126583E-2</v>
      </c>
      <c r="I909" s="30"/>
      <c r="J909" s="30"/>
    </row>
    <row r="910" spans="1:10" x14ac:dyDescent="0.25">
      <c r="A910" s="26">
        <v>10</v>
      </c>
      <c r="B910" s="26">
        <v>8</v>
      </c>
      <c r="C910" s="26">
        <v>2.4</v>
      </c>
      <c r="D910" s="26">
        <v>3</v>
      </c>
      <c r="E910" s="26">
        <v>190</v>
      </c>
      <c r="F910" s="26">
        <f t="shared" si="19"/>
        <v>1.5789473684210527E-2</v>
      </c>
      <c r="I910" s="30"/>
      <c r="J910" s="30"/>
    </row>
    <row r="911" spans="1:10" x14ac:dyDescent="0.25">
      <c r="A911" s="26">
        <v>10</v>
      </c>
      <c r="B911" s="26">
        <v>8</v>
      </c>
      <c r="C911" s="26">
        <v>2.6</v>
      </c>
      <c r="D911" s="26">
        <v>0.5</v>
      </c>
      <c r="E911" s="26">
        <v>32</v>
      </c>
      <c r="F911" s="26">
        <f t="shared" si="19"/>
        <v>1.5625E-2</v>
      </c>
      <c r="I911" s="30"/>
      <c r="J911" s="30"/>
    </row>
    <row r="912" spans="1:10" x14ac:dyDescent="0.25">
      <c r="A912" s="26">
        <v>10</v>
      </c>
      <c r="B912" s="26">
        <v>8</v>
      </c>
      <c r="C912" s="26">
        <v>2.6</v>
      </c>
      <c r="D912" s="26">
        <v>1</v>
      </c>
      <c r="E912" s="26">
        <v>65</v>
      </c>
      <c r="F912" s="26">
        <f t="shared" si="19"/>
        <v>1.5384615384615385E-2</v>
      </c>
      <c r="I912" s="30"/>
      <c r="J912" s="30"/>
    </row>
    <row r="913" spans="1:10" x14ac:dyDescent="0.25">
      <c r="A913" s="26">
        <v>10</v>
      </c>
      <c r="B913" s="26">
        <v>8</v>
      </c>
      <c r="C913" s="26">
        <v>2.6</v>
      </c>
      <c r="D913" s="26">
        <v>1.5</v>
      </c>
      <c r="E913" s="26">
        <v>97</v>
      </c>
      <c r="F913" s="26">
        <f t="shared" si="19"/>
        <v>1.5463917525773196E-2</v>
      </c>
      <c r="I913" s="30"/>
      <c r="J913" s="30"/>
    </row>
    <row r="914" spans="1:10" x14ac:dyDescent="0.25">
      <c r="A914" s="26">
        <v>10</v>
      </c>
      <c r="B914" s="26">
        <v>8</v>
      </c>
      <c r="C914" s="26">
        <v>2.6</v>
      </c>
      <c r="D914" s="26">
        <v>2</v>
      </c>
      <c r="E914" s="26">
        <v>129</v>
      </c>
      <c r="F914" s="26">
        <f t="shared" si="19"/>
        <v>1.5503875968992248E-2</v>
      </c>
      <c r="I914" s="30"/>
      <c r="J914" s="30"/>
    </row>
    <row r="915" spans="1:10" x14ac:dyDescent="0.25">
      <c r="A915" s="26">
        <v>10</v>
      </c>
      <c r="B915" s="26">
        <v>8</v>
      </c>
      <c r="C915" s="26">
        <v>2.6</v>
      </c>
      <c r="D915" s="26">
        <v>2.5</v>
      </c>
      <c r="E915" s="26">
        <v>162</v>
      </c>
      <c r="F915" s="26">
        <f t="shared" si="19"/>
        <v>1.5432098765432098E-2</v>
      </c>
      <c r="I915" s="30"/>
      <c r="J915" s="30"/>
    </row>
    <row r="916" spans="1:10" x14ac:dyDescent="0.25">
      <c r="A916" s="26">
        <v>10</v>
      </c>
      <c r="B916" s="26">
        <v>8</v>
      </c>
      <c r="C916" s="26">
        <v>2.6</v>
      </c>
      <c r="D916" s="26">
        <v>3</v>
      </c>
      <c r="E916" s="26">
        <v>194</v>
      </c>
      <c r="F916" s="26">
        <f t="shared" si="19"/>
        <v>1.5463917525773196E-2</v>
      </c>
      <c r="I916" s="30"/>
      <c r="J916" s="30"/>
    </row>
    <row r="917" spans="1:10" x14ac:dyDescent="0.25">
      <c r="A917" s="26">
        <v>10</v>
      </c>
      <c r="B917" s="26">
        <v>8</v>
      </c>
      <c r="C917" s="26">
        <v>2.8</v>
      </c>
      <c r="D917" s="26">
        <v>0.5</v>
      </c>
      <c r="E917" s="26">
        <v>33</v>
      </c>
      <c r="F917" s="26">
        <f t="shared" si="19"/>
        <v>1.5151515151515152E-2</v>
      </c>
      <c r="I917" s="30"/>
      <c r="J917" s="30"/>
    </row>
    <row r="918" spans="1:10" x14ac:dyDescent="0.25">
      <c r="A918" s="26">
        <v>10</v>
      </c>
      <c r="B918" s="26">
        <v>8</v>
      </c>
      <c r="C918" s="26">
        <v>2.8</v>
      </c>
      <c r="D918" s="26">
        <v>1</v>
      </c>
      <c r="E918" s="26">
        <v>66</v>
      </c>
      <c r="F918" s="26">
        <f t="shared" si="19"/>
        <v>1.5151515151515152E-2</v>
      </c>
      <c r="I918" s="30"/>
      <c r="J918" s="30"/>
    </row>
    <row r="919" spans="1:10" x14ac:dyDescent="0.25">
      <c r="A919" s="26">
        <v>10</v>
      </c>
      <c r="B919" s="26">
        <v>8</v>
      </c>
      <c r="C919" s="26">
        <v>2.8</v>
      </c>
      <c r="D919" s="26">
        <v>1.5</v>
      </c>
      <c r="E919" s="26">
        <v>99</v>
      </c>
      <c r="F919" s="26">
        <f t="shared" si="19"/>
        <v>1.5151515151515152E-2</v>
      </c>
      <c r="I919" s="30"/>
      <c r="J919" s="30"/>
    </row>
    <row r="920" spans="1:10" x14ac:dyDescent="0.25">
      <c r="A920" s="26">
        <v>10</v>
      </c>
      <c r="B920" s="26">
        <v>8</v>
      </c>
      <c r="C920" s="26">
        <v>2.8</v>
      </c>
      <c r="D920" s="26">
        <v>2</v>
      </c>
      <c r="E920" s="26">
        <v>131</v>
      </c>
      <c r="F920" s="26">
        <f t="shared" si="19"/>
        <v>1.5267175572519083E-2</v>
      </c>
      <c r="I920" s="30"/>
      <c r="J920" s="30"/>
    </row>
    <row r="921" spans="1:10" x14ac:dyDescent="0.25">
      <c r="A921" s="26">
        <v>10</v>
      </c>
      <c r="B921" s="26">
        <v>8</v>
      </c>
      <c r="C921" s="26">
        <v>2.8</v>
      </c>
      <c r="D921" s="26">
        <v>2.5</v>
      </c>
      <c r="E921" s="26">
        <v>164</v>
      </c>
      <c r="F921" s="26">
        <f t="shared" si="19"/>
        <v>1.524390243902439E-2</v>
      </c>
      <c r="I921" s="30"/>
      <c r="J921" s="30"/>
    </row>
    <row r="922" spans="1:10" x14ac:dyDescent="0.25">
      <c r="A922" s="26">
        <v>10</v>
      </c>
      <c r="B922" s="26">
        <v>8</v>
      </c>
      <c r="C922" s="26">
        <v>2.8</v>
      </c>
      <c r="D922" s="26">
        <v>3</v>
      </c>
      <c r="E922" s="26">
        <v>197</v>
      </c>
      <c r="F922" s="26">
        <f t="shared" si="19"/>
        <v>1.5228426395939087E-2</v>
      </c>
      <c r="I922" s="30"/>
      <c r="J922" s="30"/>
    </row>
    <row r="923" spans="1:10" x14ac:dyDescent="0.25">
      <c r="A923" s="26">
        <v>10</v>
      </c>
      <c r="B923" s="26">
        <v>8</v>
      </c>
      <c r="C923" s="26">
        <v>3</v>
      </c>
      <c r="D923" s="26">
        <v>0.5</v>
      </c>
      <c r="E923" s="26">
        <v>34</v>
      </c>
      <c r="F923" s="26">
        <f t="shared" si="19"/>
        <v>1.4705882352941176E-2</v>
      </c>
      <c r="I923" s="30"/>
      <c r="J923" s="30"/>
    </row>
    <row r="924" spans="1:10" x14ac:dyDescent="0.25">
      <c r="A924" s="26">
        <v>10</v>
      </c>
      <c r="B924" s="26">
        <v>8</v>
      </c>
      <c r="C924" s="26">
        <v>3</v>
      </c>
      <c r="D924" s="26">
        <v>1</v>
      </c>
      <c r="E924" s="26">
        <v>67</v>
      </c>
      <c r="F924" s="26">
        <f t="shared" si="19"/>
        <v>1.4925373134328358E-2</v>
      </c>
      <c r="I924" s="30"/>
      <c r="J924" s="30"/>
    </row>
    <row r="925" spans="1:10" x14ac:dyDescent="0.25">
      <c r="A925" s="26">
        <v>10</v>
      </c>
      <c r="B925" s="26">
        <v>8</v>
      </c>
      <c r="C925" s="26">
        <v>3</v>
      </c>
      <c r="D925" s="26">
        <v>1.5</v>
      </c>
      <c r="E925" s="26">
        <v>101</v>
      </c>
      <c r="F925" s="26">
        <f t="shared" si="19"/>
        <v>1.4851485148514851E-2</v>
      </c>
      <c r="I925" s="30"/>
      <c r="J925" s="30"/>
    </row>
    <row r="926" spans="1:10" x14ac:dyDescent="0.25">
      <c r="A926" s="26">
        <v>10</v>
      </c>
      <c r="B926" s="26">
        <v>8</v>
      </c>
      <c r="C926" s="26">
        <v>3</v>
      </c>
      <c r="D926" s="26">
        <v>2</v>
      </c>
      <c r="E926" s="26">
        <v>134</v>
      </c>
      <c r="F926" s="26">
        <f t="shared" si="19"/>
        <v>1.4925373134328358E-2</v>
      </c>
      <c r="I926" s="30"/>
      <c r="J926" s="30"/>
    </row>
    <row r="927" spans="1:10" x14ac:dyDescent="0.25">
      <c r="A927" s="26">
        <v>10</v>
      </c>
      <c r="B927" s="26">
        <v>8</v>
      </c>
      <c r="C927" s="26">
        <v>3</v>
      </c>
      <c r="D927" s="26">
        <v>2.5</v>
      </c>
      <c r="E927" s="26">
        <v>168</v>
      </c>
      <c r="F927" s="26">
        <f t="shared" si="19"/>
        <v>1.488095238095238E-2</v>
      </c>
      <c r="I927" s="30"/>
      <c r="J927" s="30"/>
    </row>
    <row r="928" spans="1:10" x14ac:dyDescent="0.25">
      <c r="A928" s="73">
        <v>10</v>
      </c>
      <c r="B928" s="26">
        <v>8</v>
      </c>
      <c r="C928" s="73">
        <v>3</v>
      </c>
      <c r="D928" s="73">
        <v>3</v>
      </c>
      <c r="E928" s="26">
        <v>201</v>
      </c>
      <c r="F928" s="26">
        <f t="shared" si="19"/>
        <v>1.4925373134328358E-2</v>
      </c>
      <c r="I928" s="30"/>
      <c r="J928" s="30"/>
    </row>
    <row r="929" spans="1:10" x14ac:dyDescent="0.25">
      <c r="A929" s="26">
        <v>10</v>
      </c>
      <c r="B929" s="26">
        <v>8.5</v>
      </c>
      <c r="C929" s="26">
        <v>0.4</v>
      </c>
      <c r="D929" s="26">
        <v>0.5</v>
      </c>
      <c r="E929" s="26">
        <v>30</v>
      </c>
      <c r="F929" s="26">
        <f t="shared" si="19"/>
        <v>1.6666666666666666E-2</v>
      </c>
      <c r="I929" s="30"/>
      <c r="J929" s="30"/>
    </row>
    <row r="930" spans="1:10" x14ac:dyDescent="0.25">
      <c r="A930" s="26">
        <v>10</v>
      </c>
      <c r="B930" s="26">
        <v>8.5</v>
      </c>
      <c r="C930" s="26">
        <v>0.4</v>
      </c>
      <c r="D930" s="26">
        <v>1</v>
      </c>
      <c r="E930" s="26">
        <v>59</v>
      </c>
      <c r="F930" s="26">
        <f t="shared" si="19"/>
        <v>1.6949152542372881E-2</v>
      </c>
      <c r="I930" s="30"/>
      <c r="J930" s="30"/>
    </row>
    <row r="931" spans="1:10" x14ac:dyDescent="0.25">
      <c r="A931" s="26">
        <v>10</v>
      </c>
      <c r="B931" s="26">
        <v>8.5</v>
      </c>
      <c r="C931" s="26">
        <v>0.4</v>
      </c>
      <c r="D931" s="26">
        <v>1.5</v>
      </c>
      <c r="E931" s="26">
        <v>89</v>
      </c>
      <c r="F931" s="26">
        <f t="shared" si="19"/>
        <v>1.6853932584269662E-2</v>
      </c>
      <c r="I931" s="30"/>
      <c r="J931" s="30"/>
    </row>
    <row r="932" spans="1:10" x14ac:dyDescent="0.25">
      <c r="A932" s="26">
        <v>10</v>
      </c>
      <c r="B932" s="26">
        <v>8.5</v>
      </c>
      <c r="C932" s="26">
        <v>0.4</v>
      </c>
      <c r="D932" s="26">
        <v>2</v>
      </c>
      <c r="E932" s="26">
        <v>118</v>
      </c>
      <c r="F932" s="26">
        <f t="shared" si="19"/>
        <v>1.6949152542372881E-2</v>
      </c>
      <c r="I932" s="30"/>
      <c r="J932" s="30"/>
    </row>
    <row r="933" spans="1:10" x14ac:dyDescent="0.25">
      <c r="A933" s="26">
        <v>10</v>
      </c>
      <c r="B933" s="26">
        <v>8.5</v>
      </c>
      <c r="C933" s="26">
        <v>0.4</v>
      </c>
      <c r="D933" s="26">
        <v>2.5</v>
      </c>
      <c r="E933" s="26">
        <v>148</v>
      </c>
      <c r="F933" s="26">
        <f t="shared" si="19"/>
        <v>1.6891891891891893E-2</v>
      </c>
      <c r="I933" s="30"/>
      <c r="J933" s="30"/>
    </row>
    <row r="934" spans="1:10" x14ac:dyDescent="0.25">
      <c r="A934" s="26">
        <v>10</v>
      </c>
      <c r="B934" s="26">
        <v>8.5</v>
      </c>
      <c r="C934" s="26">
        <v>0.4</v>
      </c>
      <c r="D934" s="26">
        <v>3</v>
      </c>
      <c r="E934" s="26">
        <v>177</v>
      </c>
      <c r="F934" s="26">
        <f t="shared" si="19"/>
        <v>1.6949152542372881E-2</v>
      </c>
      <c r="I934" s="30"/>
      <c r="J934" s="30"/>
    </row>
    <row r="935" spans="1:10" x14ac:dyDescent="0.25">
      <c r="A935" s="26">
        <v>10</v>
      </c>
      <c r="B935" s="26">
        <v>8.5</v>
      </c>
      <c r="C935" s="26">
        <v>0.6</v>
      </c>
      <c r="D935" s="26">
        <v>0.5</v>
      </c>
      <c r="E935" s="26">
        <v>31</v>
      </c>
      <c r="F935" s="26">
        <f t="shared" si="19"/>
        <v>1.6129032258064516E-2</v>
      </c>
      <c r="I935" s="30"/>
      <c r="J935" s="30"/>
    </row>
    <row r="936" spans="1:10" x14ac:dyDescent="0.25">
      <c r="A936" s="26">
        <v>10</v>
      </c>
      <c r="B936" s="26">
        <v>8.5</v>
      </c>
      <c r="C936" s="26">
        <v>0.6</v>
      </c>
      <c r="D936" s="26">
        <v>1</v>
      </c>
      <c r="E936" s="26">
        <v>61</v>
      </c>
      <c r="F936" s="26">
        <f t="shared" si="19"/>
        <v>1.6393442622950821E-2</v>
      </c>
      <c r="I936" s="30"/>
      <c r="J936" s="30"/>
    </row>
    <row r="937" spans="1:10" x14ac:dyDescent="0.25">
      <c r="A937" s="26">
        <v>10</v>
      </c>
      <c r="B937" s="26">
        <v>8.5</v>
      </c>
      <c r="C937" s="26">
        <v>0.6</v>
      </c>
      <c r="D937" s="26">
        <v>1.5</v>
      </c>
      <c r="E937" s="26">
        <v>92</v>
      </c>
      <c r="F937" s="26">
        <f t="shared" si="19"/>
        <v>1.6304347826086956E-2</v>
      </c>
      <c r="I937" s="30"/>
      <c r="J937" s="30"/>
    </row>
    <row r="938" spans="1:10" x14ac:dyDescent="0.25">
      <c r="A938" s="26">
        <v>10</v>
      </c>
      <c r="B938" s="26">
        <v>8.5</v>
      </c>
      <c r="C938" s="26">
        <v>0.6</v>
      </c>
      <c r="D938" s="26">
        <v>2</v>
      </c>
      <c r="E938" s="26">
        <v>122</v>
      </c>
      <c r="F938" s="26">
        <f t="shared" si="19"/>
        <v>1.6393442622950821E-2</v>
      </c>
      <c r="I938" s="30"/>
      <c r="J938" s="30"/>
    </row>
    <row r="939" spans="1:10" x14ac:dyDescent="0.25">
      <c r="A939" s="26">
        <v>10</v>
      </c>
      <c r="B939" s="26">
        <v>8.5</v>
      </c>
      <c r="C939" s="26">
        <v>0.6</v>
      </c>
      <c r="D939" s="26">
        <v>2.5</v>
      </c>
      <c r="E939" s="26">
        <v>153</v>
      </c>
      <c r="F939" s="26">
        <f t="shared" si="19"/>
        <v>1.6339869281045753E-2</v>
      </c>
      <c r="I939" s="30"/>
      <c r="J939" s="30"/>
    </row>
    <row r="940" spans="1:10" x14ac:dyDescent="0.25">
      <c r="A940" s="26">
        <v>10</v>
      </c>
      <c r="B940" s="26">
        <v>8.5</v>
      </c>
      <c r="C940" s="26">
        <v>0.6</v>
      </c>
      <c r="D940" s="26">
        <v>3</v>
      </c>
      <c r="E940" s="26">
        <v>183</v>
      </c>
      <c r="F940" s="26">
        <f t="shared" si="19"/>
        <v>1.6393442622950821E-2</v>
      </c>
      <c r="I940" s="30"/>
      <c r="J940" s="30"/>
    </row>
    <row r="941" spans="1:10" x14ac:dyDescent="0.25">
      <c r="A941" s="26">
        <v>10</v>
      </c>
      <c r="B941" s="26">
        <v>8.5</v>
      </c>
      <c r="C941" s="26">
        <v>0.8</v>
      </c>
      <c r="D941" s="26">
        <v>0.5</v>
      </c>
      <c r="E941" s="26">
        <v>32</v>
      </c>
      <c r="F941" s="26">
        <f t="shared" si="19"/>
        <v>1.5625E-2</v>
      </c>
      <c r="I941" s="30"/>
      <c r="J941" s="30"/>
    </row>
    <row r="942" spans="1:10" x14ac:dyDescent="0.25">
      <c r="A942" s="26">
        <v>10</v>
      </c>
      <c r="B942" s="26">
        <v>8.5</v>
      </c>
      <c r="C942" s="26">
        <v>0.8</v>
      </c>
      <c r="D942" s="26">
        <v>1</v>
      </c>
      <c r="E942" s="26">
        <v>63</v>
      </c>
      <c r="F942" s="26">
        <f t="shared" si="19"/>
        <v>1.5873015873015872E-2</v>
      </c>
      <c r="I942" s="30"/>
      <c r="J942" s="30"/>
    </row>
    <row r="943" spans="1:10" x14ac:dyDescent="0.25">
      <c r="A943" s="26">
        <v>10</v>
      </c>
      <c r="B943" s="26">
        <v>8.5</v>
      </c>
      <c r="C943" s="26">
        <v>0.8</v>
      </c>
      <c r="D943" s="26">
        <v>1.5</v>
      </c>
      <c r="E943" s="26">
        <v>95</v>
      </c>
      <c r="F943" s="26">
        <f t="shared" si="19"/>
        <v>1.5789473684210527E-2</v>
      </c>
      <c r="I943" s="30"/>
      <c r="J943" s="30"/>
    </row>
    <row r="944" spans="1:10" x14ac:dyDescent="0.25">
      <c r="A944" s="26">
        <v>10</v>
      </c>
      <c r="B944" s="26">
        <v>8.5</v>
      </c>
      <c r="C944" s="26">
        <v>0.8</v>
      </c>
      <c r="D944" s="26">
        <v>2</v>
      </c>
      <c r="E944" s="26">
        <v>126</v>
      </c>
      <c r="F944" s="26">
        <f t="shared" si="19"/>
        <v>1.5873015873015872E-2</v>
      </c>
      <c r="I944" s="30"/>
      <c r="J944" s="30"/>
    </row>
    <row r="945" spans="1:10" x14ac:dyDescent="0.25">
      <c r="A945" s="26">
        <v>10</v>
      </c>
      <c r="B945" s="26">
        <v>8.5</v>
      </c>
      <c r="C945" s="26">
        <v>0.8</v>
      </c>
      <c r="D945" s="26">
        <v>2.5</v>
      </c>
      <c r="E945" s="26">
        <v>158</v>
      </c>
      <c r="F945" s="26">
        <f t="shared" si="19"/>
        <v>1.5822784810126583E-2</v>
      </c>
      <c r="I945" s="30"/>
      <c r="J945" s="30"/>
    </row>
    <row r="946" spans="1:10" x14ac:dyDescent="0.25">
      <c r="A946" s="26">
        <v>10</v>
      </c>
      <c r="B946" s="26">
        <v>8.5</v>
      </c>
      <c r="C946" s="26">
        <v>0.8</v>
      </c>
      <c r="D946" s="26">
        <v>3</v>
      </c>
      <c r="E946" s="26">
        <v>189</v>
      </c>
      <c r="F946" s="26">
        <f t="shared" si="19"/>
        <v>1.5873015873015872E-2</v>
      </c>
      <c r="I946" s="30"/>
      <c r="J946" s="30"/>
    </row>
    <row r="947" spans="1:10" x14ac:dyDescent="0.25">
      <c r="A947" s="26">
        <v>10</v>
      </c>
      <c r="B947" s="26">
        <v>8.5</v>
      </c>
      <c r="C947" s="26">
        <v>1</v>
      </c>
      <c r="D947" s="26">
        <v>0.5</v>
      </c>
      <c r="E947" s="26">
        <v>33</v>
      </c>
      <c r="F947" s="26">
        <f t="shared" si="19"/>
        <v>1.5151515151515152E-2</v>
      </c>
      <c r="I947" s="30"/>
      <c r="J947" s="30"/>
    </row>
    <row r="948" spans="1:10" x14ac:dyDescent="0.25">
      <c r="A948" s="26">
        <v>10</v>
      </c>
      <c r="B948" s="26">
        <v>8.5</v>
      </c>
      <c r="C948" s="26">
        <v>1</v>
      </c>
      <c r="D948" s="26">
        <v>1</v>
      </c>
      <c r="E948" s="26">
        <v>65</v>
      </c>
      <c r="F948" s="26">
        <f t="shared" si="19"/>
        <v>1.5384615384615385E-2</v>
      </c>
      <c r="I948" s="30"/>
      <c r="J948" s="30"/>
    </row>
    <row r="949" spans="1:10" x14ac:dyDescent="0.25">
      <c r="A949" s="26">
        <v>10</v>
      </c>
      <c r="B949" s="26">
        <v>8.5</v>
      </c>
      <c r="C949" s="26">
        <v>1</v>
      </c>
      <c r="D949" s="26">
        <v>1.5</v>
      </c>
      <c r="E949" s="26">
        <v>98</v>
      </c>
      <c r="F949" s="26">
        <f t="shared" si="19"/>
        <v>1.5306122448979591E-2</v>
      </c>
      <c r="I949" s="30"/>
      <c r="J949" s="30"/>
    </row>
    <row r="950" spans="1:10" x14ac:dyDescent="0.25">
      <c r="A950" s="26">
        <v>10</v>
      </c>
      <c r="B950" s="26">
        <v>8.5</v>
      </c>
      <c r="C950" s="26">
        <v>1</v>
      </c>
      <c r="D950" s="26">
        <v>2</v>
      </c>
      <c r="E950" s="26">
        <v>130</v>
      </c>
      <c r="F950" s="26">
        <f t="shared" si="19"/>
        <v>1.5384615384615385E-2</v>
      </c>
      <c r="I950" s="30"/>
      <c r="J950" s="30"/>
    </row>
    <row r="951" spans="1:10" x14ac:dyDescent="0.25">
      <c r="A951" s="26">
        <v>10</v>
      </c>
      <c r="B951" s="26">
        <v>8.5</v>
      </c>
      <c r="C951" s="26">
        <v>1</v>
      </c>
      <c r="D951" s="26">
        <v>2.5</v>
      </c>
      <c r="E951" s="26">
        <v>163</v>
      </c>
      <c r="F951" s="26">
        <f t="shared" si="19"/>
        <v>1.5337423312883436E-2</v>
      </c>
      <c r="I951" s="30"/>
      <c r="J951" s="30"/>
    </row>
    <row r="952" spans="1:10" x14ac:dyDescent="0.25">
      <c r="A952" s="26">
        <v>10</v>
      </c>
      <c r="B952" s="26">
        <v>8.5</v>
      </c>
      <c r="C952" s="26">
        <v>1</v>
      </c>
      <c r="D952" s="26">
        <v>3</v>
      </c>
      <c r="E952" s="26">
        <v>195</v>
      </c>
      <c r="F952" s="26">
        <f t="shared" si="19"/>
        <v>1.5384615384615385E-2</v>
      </c>
      <c r="I952" s="30"/>
      <c r="J952" s="30"/>
    </row>
    <row r="953" spans="1:10" x14ac:dyDescent="0.25">
      <c r="A953" s="26">
        <v>10</v>
      </c>
      <c r="B953" s="26">
        <v>8.5</v>
      </c>
      <c r="C953" s="26">
        <v>1.2</v>
      </c>
      <c r="D953" s="26">
        <v>0.5</v>
      </c>
      <c r="E953" s="26">
        <v>33</v>
      </c>
      <c r="F953" s="26">
        <f t="shared" si="19"/>
        <v>1.5151515151515152E-2</v>
      </c>
      <c r="I953" s="30"/>
      <c r="J953" s="30"/>
    </row>
    <row r="954" spans="1:10" x14ac:dyDescent="0.25">
      <c r="A954" s="26">
        <v>10</v>
      </c>
      <c r="B954" s="26">
        <v>8.5</v>
      </c>
      <c r="C954" s="26">
        <v>1.2</v>
      </c>
      <c r="D954" s="26">
        <v>1</v>
      </c>
      <c r="E954" s="26">
        <v>67</v>
      </c>
      <c r="F954" s="26">
        <f t="shared" si="19"/>
        <v>1.4925373134328358E-2</v>
      </c>
      <c r="I954" s="30"/>
      <c r="J954" s="30"/>
    </row>
    <row r="955" spans="1:10" x14ac:dyDescent="0.25">
      <c r="A955" s="26">
        <v>10</v>
      </c>
      <c r="B955" s="26">
        <v>8.5</v>
      </c>
      <c r="C955" s="26">
        <v>1.2</v>
      </c>
      <c r="D955" s="26">
        <v>1.5</v>
      </c>
      <c r="E955" s="26">
        <v>100</v>
      </c>
      <c r="F955" s="26">
        <f t="shared" si="19"/>
        <v>1.4999999999999999E-2</v>
      </c>
      <c r="I955" s="30"/>
      <c r="J955" s="30"/>
    </row>
    <row r="956" spans="1:10" x14ac:dyDescent="0.25">
      <c r="A956" s="26">
        <v>10</v>
      </c>
      <c r="B956" s="26">
        <v>8.5</v>
      </c>
      <c r="C956" s="26">
        <v>1.2</v>
      </c>
      <c r="D956" s="26">
        <v>2</v>
      </c>
      <c r="E956" s="26">
        <v>133</v>
      </c>
      <c r="F956" s="26">
        <f t="shared" si="19"/>
        <v>1.5037593984962405E-2</v>
      </c>
      <c r="I956" s="30"/>
      <c r="J956" s="30"/>
    </row>
    <row r="957" spans="1:10" x14ac:dyDescent="0.25">
      <c r="A957" s="26">
        <v>10</v>
      </c>
      <c r="B957" s="26">
        <v>8.5</v>
      </c>
      <c r="C957" s="26">
        <v>1.2</v>
      </c>
      <c r="D957" s="26">
        <v>2.5</v>
      </c>
      <c r="E957" s="26">
        <v>167</v>
      </c>
      <c r="F957" s="26">
        <f t="shared" si="19"/>
        <v>1.4970059880239521E-2</v>
      </c>
      <c r="I957" s="30"/>
      <c r="J957" s="30"/>
    </row>
    <row r="958" spans="1:10" x14ac:dyDescent="0.25">
      <c r="A958" s="26">
        <v>10</v>
      </c>
      <c r="B958" s="26">
        <v>8.5</v>
      </c>
      <c r="C958" s="26">
        <v>1.2</v>
      </c>
      <c r="D958" s="26">
        <v>3</v>
      </c>
      <c r="E958" s="26">
        <v>200</v>
      </c>
      <c r="F958" s="26">
        <f t="shared" si="19"/>
        <v>1.4999999999999999E-2</v>
      </c>
      <c r="I958" s="30"/>
      <c r="J958" s="30"/>
    </row>
    <row r="959" spans="1:10" x14ac:dyDescent="0.25">
      <c r="A959" s="26">
        <v>10</v>
      </c>
      <c r="B959" s="26">
        <v>8.5</v>
      </c>
      <c r="C959" s="26">
        <v>1.4</v>
      </c>
      <c r="D959" s="26">
        <v>0.5</v>
      </c>
      <c r="E959" s="26">
        <v>34</v>
      </c>
      <c r="F959" s="26">
        <f t="shared" si="19"/>
        <v>1.4705882352941176E-2</v>
      </c>
      <c r="I959" s="30"/>
      <c r="J959" s="30"/>
    </row>
    <row r="960" spans="1:10" x14ac:dyDescent="0.25">
      <c r="A960" s="26">
        <v>10</v>
      </c>
      <c r="B960" s="26">
        <v>8.5</v>
      </c>
      <c r="C960" s="26">
        <v>1.4</v>
      </c>
      <c r="D960" s="26">
        <v>1</v>
      </c>
      <c r="E960" s="26">
        <v>69</v>
      </c>
      <c r="F960" s="26">
        <f t="shared" si="19"/>
        <v>1.4492753623188406E-2</v>
      </c>
      <c r="I960" s="30"/>
      <c r="J960" s="30"/>
    </row>
    <row r="961" spans="1:10" x14ac:dyDescent="0.25">
      <c r="A961" s="26">
        <v>10</v>
      </c>
      <c r="B961" s="26">
        <v>8.5</v>
      </c>
      <c r="C961" s="26">
        <v>1.4</v>
      </c>
      <c r="D961" s="26">
        <v>1.5</v>
      </c>
      <c r="E961" s="26">
        <v>103</v>
      </c>
      <c r="F961" s="26">
        <f t="shared" si="19"/>
        <v>1.4563106796116505E-2</v>
      </c>
      <c r="I961" s="30"/>
      <c r="J961" s="30"/>
    </row>
    <row r="962" spans="1:10" x14ac:dyDescent="0.25">
      <c r="A962" s="26">
        <v>10</v>
      </c>
      <c r="B962" s="26">
        <v>8.5</v>
      </c>
      <c r="C962" s="26">
        <v>1.4</v>
      </c>
      <c r="D962" s="26">
        <v>2</v>
      </c>
      <c r="E962" s="26">
        <v>137</v>
      </c>
      <c r="F962" s="26">
        <f t="shared" si="19"/>
        <v>1.4598540145985401E-2</v>
      </c>
      <c r="I962" s="30"/>
      <c r="J962" s="30"/>
    </row>
    <row r="963" spans="1:10" x14ac:dyDescent="0.25">
      <c r="A963" s="26">
        <v>10</v>
      </c>
      <c r="B963" s="26">
        <v>8.5</v>
      </c>
      <c r="C963" s="26">
        <v>1.4</v>
      </c>
      <c r="D963" s="26">
        <v>2.5</v>
      </c>
      <c r="E963" s="26">
        <v>172</v>
      </c>
      <c r="F963" s="26">
        <f t="shared" si="19"/>
        <v>1.4534883720930232E-2</v>
      </c>
      <c r="I963" s="30"/>
      <c r="J963" s="30"/>
    </row>
    <row r="964" spans="1:10" x14ac:dyDescent="0.25">
      <c r="A964" s="26">
        <v>10</v>
      </c>
      <c r="B964" s="26">
        <v>8.5</v>
      </c>
      <c r="C964" s="26">
        <v>1.4</v>
      </c>
      <c r="D964" s="26">
        <v>3</v>
      </c>
      <c r="E964" s="26">
        <v>206</v>
      </c>
      <c r="F964" s="26">
        <f t="shared" si="19"/>
        <v>1.4563106796116505E-2</v>
      </c>
      <c r="I964" s="30"/>
      <c r="J964" s="30"/>
    </row>
    <row r="965" spans="1:10" x14ac:dyDescent="0.25">
      <c r="A965" s="26">
        <v>10</v>
      </c>
      <c r="B965" s="26">
        <v>8.5</v>
      </c>
      <c r="C965" s="26">
        <v>1.6</v>
      </c>
      <c r="D965" s="26">
        <v>0.5</v>
      </c>
      <c r="E965" s="26">
        <v>35</v>
      </c>
      <c r="F965" s="26">
        <f t="shared" ref="F965:F1028" si="20">D965/E965</f>
        <v>1.4285714285714285E-2</v>
      </c>
      <c r="I965" s="30"/>
      <c r="J965" s="30"/>
    </row>
    <row r="966" spans="1:10" x14ac:dyDescent="0.25">
      <c r="A966" s="26">
        <v>10</v>
      </c>
      <c r="B966" s="26">
        <v>8.5</v>
      </c>
      <c r="C966" s="26">
        <v>1.6</v>
      </c>
      <c r="D966" s="26">
        <v>1</v>
      </c>
      <c r="E966" s="26">
        <v>70</v>
      </c>
      <c r="F966" s="26">
        <f t="shared" si="20"/>
        <v>1.4285714285714285E-2</v>
      </c>
      <c r="I966" s="30"/>
      <c r="J966" s="30"/>
    </row>
    <row r="967" spans="1:10" x14ac:dyDescent="0.25">
      <c r="A967" s="26">
        <v>10</v>
      </c>
      <c r="B967" s="26">
        <v>8.5</v>
      </c>
      <c r="C967" s="26">
        <v>1.6</v>
      </c>
      <c r="D967" s="26">
        <v>1.5</v>
      </c>
      <c r="E967" s="26">
        <v>106</v>
      </c>
      <c r="F967" s="26">
        <f t="shared" si="20"/>
        <v>1.4150943396226415E-2</v>
      </c>
      <c r="I967" s="30"/>
      <c r="J967" s="30"/>
    </row>
    <row r="968" spans="1:10" x14ac:dyDescent="0.25">
      <c r="A968" s="26">
        <v>10</v>
      </c>
      <c r="B968" s="26">
        <v>8.5</v>
      </c>
      <c r="C968" s="26">
        <v>1.6</v>
      </c>
      <c r="D968" s="26">
        <v>2</v>
      </c>
      <c r="E968" s="26">
        <v>141</v>
      </c>
      <c r="F968" s="26">
        <f t="shared" si="20"/>
        <v>1.4184397163120567E-2</v>
      </c>
      <c r="I968" s="30"/>
      <c r="J968" s="30"/>
    </row>
    <row r="969" spans="1:10" x14ac:dyDescent="0.25">
      <c r="A969" s="26">
        <v>10</v>
      </c>
      <c r="B969" s="26">
        <v>8.5</v>
      </c>
      <c r="C969" s="26">
        <v>1.6</v>
      </c>
      <c r="D969" s="26">
        <v>2.5</v>
      </c>
      <c r="E969" s="26">
        <v>176</v>
      </c>
      <c r="F969" s="26">
        <f t="shared" si="20"/>
        <v>1.4204545454545454E-2</v>
      </c>
      <c r="I969" s="30"/>
      <c r="J969" s="30"/>
    </row>
    <row r="970" spans="1:10" x14ac:dyDescent="0.25">
      <c r="A970" s="26">
        <v>10</v>
      </c>
      <c r="B970" s="26">
        <v>8.5</v>
      </c>
      <c r="C970" s="26">
        <v>1.6</v>
      </c>
      <c r="D970" s="26">
        <v>3</v>
      </c>
      <c r="E970" s="26">
        <v>211</v>
      </c>
      <c r="F970" s="26">
        <f t="shared" si="20"/>
        <v>1.4218009478672985E-2</v>
      </c>
      <c r="I970" s="30"/>
      <c r="J970" s="30"/>
    </row>
    <row r="971" spans="1:10" x14ac:dyDescent="0.25">
      <c r="A971" s="26">
        <v>10</v>
      </c>
      <c r="B971" s="26">
        <v>8.5</v>
      </c>
      <c r="C971" s="26">
        <v>1.8</v>
      </c>
      <c r="D971" s="26">
        <v>0.5</v>
      </c>
      <c r="E971" s="26">
        <v>36</v>
      </c>
      <c r="F971" s="26">
        <f t="shared" si="20"/>
        <v>1.3888888888888888E-2</v>
      </c>
      <c r="I971" s="30"/>
      <c r="J971" s="30"/>
    </row>
    <row r="972" spans="1:10" x14ac:dyDescent="0.25">
      <c r="A972" s="26">
        <v>10</v>
      </c>
      <c r="B972" s="26">
        <v>8.5</v>
      </c>
      <c r="C972" s="26">
        <v>1.8</v>
      </c>
      <c r="D972" s="26">
        <v>1</v>
      </c>
      <c r="E972" s="26">
        <v>72</v>
      </c>
      <c r="F972" s="26">
        <f t="shared" si="20"/>
        <v>1.3888888888888888E-2</v>
      </c>
      <c r="I972" s="30"/>
      <c r="J972" s="30"/>
    </row>
    <row r="973" spans="1:10" x14ac:dyDescent="0.25">
      <c r="A973" s="26">
        <v>10</v>
      </c>
      <c r="B973" s="26">
        <v>8.5</v>
      </c>
      <c r="C973" s="26">
        <v>1.8</v>
      </c>
      <c r="D973" s="26">
        <v>1.5</v>
      </c>
      <c r="E973" s="26">
        <v>108</v>
      </c>
      <c r="F973" s="26">
        <f t="shared" si="20"/>
        <v>1.3888888888888888E-2</v>
      </c>
      <c r="I973" s="30"/>
      <c r="J973" s="30"/>
    </row>
    <row r="974" spans="1:10" x14ac:dyDescent="0.25">
      <c r="A974" s="26">
        <v>10</v>
      </c>
      <c r="B974" s="26">
        <v>8.5</v>
      </c>
      <c r="C974" s="26">
        <v>1.8</v>
      </c>
      <c r="D974" s="26">
        <v>2</v>
      </c>
      <c r="E974" s="26">
        <v>143</v>
      </c>
      <c r="F974" s="26">
        <f t="shared" si="20"/>
        <v>1.3986013986013986E-2</v>
      </c>
      <c r="I974" s="30"/>
      <c r="J974" s="30"/>
    </row>
    <row r="975" spans="1:10" x14ac:dyDescent="0.25">
      <c r="A975" s="26">
        <v>10</v>
      </c>
      <c r="B975" s="26">
        <v>8.5</v>
      </c>
      <c r="C975" s="26">
        <v>1.8</v>
      </c>
      <c r="D975" s="26">
        <v>2.5</v>
      </c>
      <c r="E975" s="26">
        <v>179</v>
      </c>
      <c r="F975" s="26">
        <f t="shared" si="20"/>
        <v>1.3966480446927373E-2</v>
      </c>
      <c r="I975" s="30"/>
      <c r="J975" s="30"/>
    </row>
    <row r="976" spans="1:10" x14ac:dyDescent="0.25">
      <c r="A976" s="26">
        <v>10</v>
      </c>
      <c r="B976" s="26">
        <v>8.5</v>
      </c>
      <c r="C976" s="26">
        <v>1.8</v>
      </c>
      <c r="D976" s="26">
        <v>3</v>
      </c>
      <c r="E976" s="26">
        <v>215</v>
      </c>
      <c r="F976" s="26">
        <f t="shared" si="20"/>
        <v>1.3953488372093023E-2</v>
      </c>
      <c r="I976" s="30"/>
      <c r="J976" s="30"/>
    </row>
    <row r="977" spans="1:10" x14ac:dyDescent="0.25">
      <c r="A977" s="26">
        <v>10</v>
      </c>
      <c r="B977" s="26">
        <v>8.5</v>
      </c>
      <c r="C977" s="26">
        <v>2</v>
      </c>
      <c r="D977" s="26">
        <v>0.5</v>
      </c>
      <c r="E977" s="26">
        <v>37</v>
      </c>
      <c r="F977" s="26">
        <f t="shared" si="20"/>
        <v>1.3513513513513514E-2</v>
      </c>
      <c r="I977" s="30"/>
      <c r="J977" s="30"/>
    </row>
    <row r="978" spans="1:10" x14ac:dyDescent="0.25">
      <c r="A978" s="26">
        <v>10</v>
      </c>
      <c r="B978" s="26">
        <v>8.5</v>
      </c>
      <c r="C978" s="26">
        <v>2</v>
      </c>
      <c r="D978" s="26">
        <v>1</v>
      </c>
      <c r="E978" s="26">
        <v>74</v>
      </c>
      <c r="F978" s="26">
        <f t="shared" si="20"/>
        <v>1.3513513513513514E-2</v>
      </c>
      <c r="I978" s="30"/>
      <c r="J978" s="30"/>
    </row>
    <row r="979" spans="1:10" x14ac:dyDescent="0.25">
      <c r="A979" s="26">
        <v>10</v>
      </c>
      <c r="B979" s="26">
        <v>8.5</v>
      </c>
      <c r="C979" s="26">
        <v>2</v>
      </c>
      <c r="D979" s="26">
        <v>1.5</v>
      </c>
      <c r="E979" s="26">
        <v>111</v>
      </c>
      <c r="F979" s="26">
        <f t="shared" si="20"/>
        <v>1.3513513513513514E-2</v>
      </c>
      <c r="I979" s="30"/>
      <c r="J979" s="30"/>
    </row>
    <row r="980" spans="1:10" x14ac:dyDescent="0.25">
      <c r="A980" s="26">
        <v>10</v>
      </c>
      <c r="B980" s="26">
        <v>8.5</v>
      </c>
      <c r="C980" s="26">
        <v>2</v>
      </c>
      <c r="D980" s="26">
        <v>2</v>
      </c>
      <c r="E980" s="26">
        <v>147</v>
      </c>
      <c r="F980" s="26">
        <f t="shared" si="20"/>
        <v>1.3605442176870748E-2</v>
      </c>
      <c r="I980" s="30"/>
      <c r="J980" s="30"/>
    </row>
    <row r="981" spans="1:10" x14ac:dyDescent="0.25">
      <c r="A981" s="26">
        <v>10</v>
      </c>
      <c r="B981" s="26">
        <v>8.5</v>
      </c>
      <c r="C981" s="26">
        <v>2</v>
      </c>
      <c r="D981" s="26">
        <v>2.5</v>
      </c>
      <c r="E981" s="26">
        <v>184</v>
      </c>
      <c r="F981" s="26">
        <f t="shared" si="20"/>
        <v>1.358695652173913E-2</v>
      </c>
      <c r="I981" s="30"/>
      <c r="J981" s="30"/>
    </row>
    <row r="982" spans="1:10" x14ac:dyDescent="0.25">
      <c r="A982" s="26">
        <v>10</v>
      </c>
      <c r="B982" s="26">
        <v>8.5</v>
      </c>
      <c r="C982" s="26">
        <v>2</v>
      </c>
      <c r="D982" s="26">
        <v>3</v>
      </c>
      <c r="E982" s="26">
        <v>221</v>
      </c>
      <c r="F982" s="26">
        <f t="shared" si="20"/>
        <v>1.3574660633484163E-2</v>
      </c>
      <c r="I982" s="30"/>
      <c r="J982" s="30"/>
    </row>
    <row r="983" spans="1:10" x14ac:dyDescent="0.25">
      <c r="A983" s="26">
        <v>10</v>
      </c>
      <c r="B983" s="26">
        <v>8.5</v>
      </c>
      <c r="C983" s="26">
        <v>2.2000000000000002</v>
      </c>
      <c r="D983" s="26">
        <v>0.5</v>
      </c>
      <c r="E983" s="26">
        <v>38</v>
      </c>
      <c r="F983" s="26">
        <f t="shared" si="20"/>
        <v>1.3157894736842105E-2</v>
      </c>
      <c r="I983" s="30"/>
      <c r="J983" s="30"/>
    </row>
    <row r="984" spans="1:10" x14ac:dyDescent="0.25">
      <c r="A984" s="26">
        <v>10</v>
      </c>
      <c r="B984" s="26">
        <v>8.5</v>
      </c>
      <c r="C984" s="26">
        <v>2.2000000000000002</v>
      </c>
      <c r="D984" s="26">
        <v>1</v>
      </c>
      <c r="E984" s="26">
        <v>75</v>
      </c>
      <c r="F984" s="26">
        <f t="shared" si="20"/>
        <v>1.3333333333333334E-2</v>
      </c>
      <c r="I984" s="30"/>
      <c r="J984" s="30"/>
    </row>
    <row r="985" spans="1:10" x14ac:dyDescent="0.25">
      <c r="A985" s="26">
        <v>10</v>
      </c>
      <c r="B985" s="26">
        <v>8.5</v>
      </c>
      <c r="C985" s="26">
        <v>2.2000000000000002</v>
      </c>
      <c r="D985" s="26">
        <v>1.5</v>
      </c>
      <c r="E985" s="26">
        <v>113</v>
      </c>
      <c r="F985" s="26">
        <f t="shared" si="20"/>
        <v>1.3274336283185841E-2</v>
      </c>
      <c r="I985" s="30"/>
      <c r="J985" s="30"/>
    </row>
    <row r="986" spans="1:10" x14ac:dyDescent="0.25">
      <c r="A986" s="26">
        <v>10</v>
      </c>
      <c r="B986" s="26">
        <v>8.5</v>
      </c>
      <c r="C986" s="26">
        <v>2.2000000000000002</v>
      </c>
      <c r="D986" s="26">
        <v>2</v>
      </c>
      <c r="E986" s="26">
        <v>150</v>
      </c>
      <c r="F986" s="26">
        <f t="shared" si="20"/>
        <v>1.3333333333333334E-2</v>
      </c>
      <c r="I986" s="30"/>
      <c r="J986" s="30"/>
    </row>
    <row r="987" spans="1:10" x14ac:dyDescent="0.25">
      <c r="A987" s="26">
        <v>10</v>
      </c>
      <c r="B987" s="26">
        <v>8.5</v>
      </c>
      <c r="C987" s="26">
        <v>2.2000000000000002</v>
      </c>
      <c r="D987" s="26">
        <v>2.5</v>
      </c>
      <c r="E987" s="26">
        <v>188</v>
      </c>
      <c r="F987" s="26">
        <f t="shared" si="20"/>
        <v>1.3297872340425532E-2</v>
      </c>
      <c r="I987" s="30"/>
      <c r="J987" s="30"/>
    </row>
    <row r="988" spans="1:10" x14ac:dyDescent="0.25">
      <c r="A988" s="26">
        <v>10</v>
      </c>
      <c r="B988" s="26">
        <v>8.5</v>
      </c>
      <c r="C988" s="26">
        <v>2.2000000000000002</v>
      </c>
      <c r="D988" s="26">
        <v>3</v>
      </c>
      <c r="E988" s="26">
        <v>225</v>
      </c>
      <c r="F988" s="26">
        <f t="shared" si="20"/>
        <v>1.3333333333333334E-2</v>
      </c>
      <c r="I988" s="30"/>
      <c r="J988" s="30"/>
    </row>
    <row r="989" spans="1:10" x14ac:dyDescent="0.25">
      <c r="A989" s="26">
        <v>10</v>
      </c>
      <c r="B989" s="26">
        <v>8.5</v>
      </c>
      <c r="C989" s="26">
        <v>2.4</v>
      </c>
      <c r="D989" s="26">
        <v>0.5</v>
      </c>
      <c r="E989" s="26">
        <v>38</v>
      </c>
      <c r="F989" s="26">
        <f t="shared" si="20"/>
        <v>1.3157894736842105E-2</v>
      </c>
      <c r="I989" s="30"/>
      <c r="J989" s="30"/>
    </row>
    <row r="990" spans="1:10" x14ac:dyDescent="0.25">
      <c r="A990" s="26">
        <v>10</v>
      </c>
      <c r="B990" s="26">
        <v>8.5</v>
      </c>
      <c r="C990" s="26">
        <v>2.4</v>
      </c>
      <c r="D990" s="26">
        <v>1</v>
      </c>
      <c r="E990" s="26">
        <v>77</v>
      </c>
      <c r="F990" s="26">
        <f t="shared" si="20"/>
        <v>1.2987012987012988E-2</v>
      </c>
      <c r="I990" s="30"/>
      <c r="J990" s="30"/>
    </row>
    <row r="991" spans="1:10" x14ac:dyDescent="0.25">
      <c r="A991" s="26">
        <v>10</v>
      </c>
      <c r="B991" s="26">
        <v>8.5</v>
      </c>
      <c r="C991" s="26">
        <v>2.4</v>
      </c>
      <c r="D991" s="26">
        <v>1.5</v>
      </c>
      <c r="E991" s="26">
        <v>115</v>
      </c>
      <c r="F991" s="26">
        <f t="shared" si="20"/>
        <v>1.3043478260869565E-2</v>
      </c>
      <c r="I991" s="30"/>
      <c r="J991" s="30"/>
    </row>
    <row r="992" spans="1:10" x14ac:dyDescent="0.25">
      <c r="A992" s="26">
        <v>10</v>
      </c>
      <c r="B992" s="26">
        <v>8.5</v>
      </c>
      <c r="C992" s="26">
        <v>2.4</v>
      </c>
      <c r="D992" s="26">
        <v>2</v>
      </c>
      <c r="E992" s="26">
        <v>153</v>
      </c>
      <c r="F992" s="26">
        <f t="shared" si="20"/>
        <v>1.3071895424836602E-2</v>
      </c>
      <c r="I992" s="30"/>
      <c r="J992" s="30"/>
    </row>
    <row r="993" spans="1:10" x14ac:dyDescent="0.25">
      <c r="A993" s="26">
        <v>10</v>
      </c>
      <c r="B993" s="26">
        <v>8.5</v>
      </c>
      <c r="C993" s="26">
        <v>2.4</v>
      </c>
      <c r="D993" s="26">
        <v>2.5</v>
      </c>
      <c r="E993" s="26">
        <v>192</v>
      </c>
      <c r="F993" s="26">
        <f t="shared" si="20"/>
        <v>1.3020833333333334E-2</v>
      </c>
      <c r="I993" s="30"/>
      <c r="J993" s="30"/>
    </row>
    <row r="994" spans="1:10" x14ac:dyDescent="0.25">
      <c r="A994" s="26">
        <v>10</v>
      </c>
      <c r="B994" s="26">
        <v>8.5</v>
      </c>
      <c r="C994" s="26">
        <v>2.4</v>
      </c>
      <c r="D994" s="26">
        <v>3</v>
      </c>
      <c r="E994" s="26">
        <v>230</v>
      </c>
      <c r="F994" s="26">
        <f t="shared" si="20"/>
        <v>1.3043478260869565E-2</v>
      </c>
      <c r="I994" s="30"/>
      <c r="J994" s="30"/>
    </row>
    <row r="995" spans="1:10" x14ac:dyDescent="0.25">
      <c r="A995" s="26">
        <v>10</v>
      </c>
      <c r="B995" s="26">
        <v>8.5</v>
      </c>
      <c r="C995" s="26">
        <v>2.6</v>
      </c>
      <c r="D995" s="26">
        <v>0.5</v>
      </c>
      <c r="E995" s="26">
        <v>39</v>
      </c>
      <c r="F995" s="26">
        <f t="shared" si="20"/>
        <v>1.282051282051282E-2</v>
      </c>
      <c r="I995" s="30"/>
      <c r="J995" s="30"/>
    </row>
    <row r="996" spans="1:10" x14ac:dyDescent="0.25">
      <c r="A996" s="26">
        <v>10</v>
      </c>
      <c r="B996" s="26">
        <v>8.5</v>
      </c>
      <c r="C996" s="26">
        <v>2.6</v>
      </c>
      <c r="D996" s="26">
        <v>1</v>
      </c>
      <c r="E996" s="26">
        <v>78</v>
      </c>
      <c r="F996" s="26">
        <f t="shared" si="20"/>
        <v>1.282051282051282E-2</v>
      </c>
      <c r="I996" s="30"/>
      <c r="J996" s="30"/>
    </row>
    <row r="997" spans="1:10" x14ac:dyDescent="0.25">
      <c r="A997" s="26">
        <v>10</v>
      </c>
      <c r="B997" s="26">
        <v>8.5</v>
      </c>
      <c r="C997" s="26">
        <v>2.6</v>
      </c>
      <c r="D997" s="26">
        <v>1.5</v>
      </c>
      <c r="E997" s="26">
        <v>117</v>
      </c>
      <c r="F997" s="26">
        <f t="shared" si="20"/>
        <v>1.282051282051282E-2</v>
      </c>
      <c r="I997" s="30"/>
      <c r="J997" s="30"/>
    </row>
    <row r="998" spans="1:10" x14ac:dyDescent="0.25">
      <c r="A998" s="26">
        <v>10</v>
      </c>
      <c r="B998" s="26">
        <v>8.5</v>
      </c>
      <c r="C998" s="26">
        <v>2.6</v>
      </c>
      <c r="D998" s="26">
        <v>2</v>
      </c>
      <c r="E998" s="26">
        <v>156</v>
      </c>
      <c r="F998" s="26">
        <f t="shared" si="20"/>
        <v>1.282051282051282E-2</v>
      </c>
      <c r="I998" s="30"/>
      <c r="J998" s="30"/>
    </row>
    <row r="999" spans="1:10" x14ac:dyDescent="0.25">
      <c r="A999" s="26">
        <v>10</v>
      </c>
      <c r="B999" s="26">
        <v>8.5</v>
      </c>
      <c r="C999" s="26">
        <v>2.6</v>
      </c>
      <c r="D999" s="26">
        <v>2.5</v>
      </c>
      <c r="E999" s="26">
        <v>195</v>
      </c>
      <c r="F999" s="26">
        <f t="shared" si="20"/>
        <v>1.282051282051282E-2</v>
      </c>
      <c r="I999" s="30"/>
      <c r="J999" s="30"/>
    </row>
    <row r="1000" spans="1:10" x14ac:dyDescent="0.25">
      <c r="A1000" s="26">
        <v>10</v>
      </c>
      <c r="B1000" s="26">
        <v>8.5</v>
      </c>
      <c r="C1000" s="26">
        <v>2.6</v>
      </c>
      <c r="D1000" s="26">
        <v>3</v>
      </c>
      <c r="E1000" s="26">
        <v>234</v>
      </c>
      <c r="F1000" s="26">
        <f t="shared" si="20"/>
        <v>1.282051282051282E-2</v>
      </c>
      <c r="I1000" s="30"/>
      <c r="J1000" s="30"/>
    </row>
    <row r="1001" spans="1:10" x14ac:dyDescent="0.25">
      <c r="A1001" s="26">
        <v>10</v>
      </c>
      <c r="B1001" s="26">
        <v>8.5</v>
      </c>
      <c r="C1001" s="26">
        <v>2.8</v>
      </c>
      <c r="D1001" s="26">
        <v>0.5</v>
      </c>
      <c r="E1001" s="26">
        <v>40</v>
      </c>
      <c r="F1001" s="26">
        <f t="shared" si="20"/>
        <v>1.2500000000000001E-2</v>
      </c>
      <c r="I1001" s="30"/>
      <c r="J1001" s="30"/>
    </row>
    <row r="1002" spans="1:10" x14ac:dyDescent="0.25">
      <c r="A1002" s="26">
        <v>10</v>
      </c>
      <c r="B1002" s="26">
        <v>8.5</v>
      </c>
      <c r="C1002" s="26">
        <v>2.8</v>
      </c>
      <c r="D1002" s="26">
        <v>1</v>
      </c>
      <c r="E1002" s="26">
        <v>80</v>
      </c>
      <c r="F1002" s="26">
        <f t="shared" si="20"/>
        <v>1.2500000000000001E-2</v>
      </c>
      <c r="G1002" s="30"/>
      <c r="I1002" s="30"/>
      <c r="J1002" s="30"/>
    </row>
    <row r="1003" spans="1:10" x14ac:dyDescent="0.25">
      <c r="A1003" s="26">
        <v>10</v>
      </c>
      <c r="B1003" s="26">
        <v>8.5</v>
      </c>
      <c r="C1003" s="26">
        <v>2.8</v>
      </c>
      <c r="D1003" s="26">
        <v>1.5</v>
      </c>
      <c r="E1003" s="26">
        <v>120</v>
      </c>
      <c r="F1003" s="26">
        <f t="shared" si="20"/>
        <v>1.2500000000000001E-2</v>
      </c>
      <c r="G1003" s="30"/>
      <c r="I1003" s="30"/>
      <c r="J1003" s="30"/>
    </row>
    <row r="1004" spans="1:10" x14ac:dyDescent="0.25">
      <c r="A1004" s="26">
        <v>10</v>
      </c>
      <c r="B1004" s="26">
        <v>8.5</v>
      </c>
      <c r="C1004" s="26">
        <v>2.8</v>
      </c>
      <c r="D1004" s="26">
        <v>2</v>
      </c>
      <c r="E1004" s="26">
        <v>159</v>
      </c>
      <c r="F1004" s="26">
        <f t="shared" si="20"/>
        <v>1.2578616352201259E-2</v>
      </c>
      <c r="G1004" s="30"/>
      <c r="I1004" s="30"/>
      <c r="J1004" s="30"/>
    </row>
    <row r="1005" spans="1:10" x14ac:dyDescent="0.25">
      <c r="A1005" s="26">
        <v>10</v>
      </c>
      <c r="B1005" s="26">
        <v>8.5</v>
      </c>
      <c r="C1005" s="26">
        <v>2.8</v>
      </c>
      <c r="D1005" s="26">
        <v>2.5</v>
      </c>
      <c r="E1005" s="26">
        <v>199</v>
      </c>
      <c r="F1005" s="26">
        <f t="shared" si="20"/>
        <v>1.2562814070351759E-2</v>
      </c>
      <c r="G1005" s="30"/>
      <c r="I1005" s="30"/>
      <c r="J1005" s="30"/>
    </row>
    <row r="1006" spans="1:10" x14ac:dyDescent="0.25">
      <c r="A1006" s="26">
        <v>10</v>
      </c>
      <c r="B1006" s="26">
        <v>8.5</v>
      </c>
      <c r="C1006" s="26">
        <v>2.8</v>
      </c>
      <c r="D1006" s="26">
        <v>3</v>
      </c>
      <c r="E1006" s="26">
        <v>239</v>
      </c>
      <c r="F1006" s="26">
        <f t="shared" si="20"/>
        <v>1.2552301255230125E-2</v>
      </c>
      <c r="G1006" s="30"/>
      <c r="I1006" s="30"/>
      <c r="J1006" s="30"/>
    </row>
    <row r="1007" spans="1:10" x14ac:dyDescent="0.25">
      <c r="A1007" s="26">
        <v>10</v>
      </c>
      <c r="B1007" s="26">
        <v>8.5</v>
      </c>
      <c r="C1007" s="26">
        <v>3</v>
      </c>
      <c r="D1007" s="26">
        <v>0.5</v>
      </c>
      <c r="E1007" s="26">
        <v>41</v>
      </c>
      <c r="F1007" s="26">
        <f t="shared" si="20"/>
        <v>1.2195121951219513E-2</v>
      </c>
      <c r="G1007" s="30"/>
      <c r="I1007" s="30"/>
      <c r="J1007" s="30"/>
    </row>
    <row r="1008" spans="1:10" x14ac:dyDescent="0.25">
      <c r="A1008" s="26">
        <v>10</v>
      </c>
      <c r="B1008" s="26">
        <v>8.5</v>
      </c>
      <c r="C1008" s="26">
        <v>3</v>
      </c>
      <c r="D1008" s="26">
        <v>1</v>
      </c>
      <c r="E1008" s="26">
        <v>81</v>
      </c>
      <c r="F1008" s="26">
        <f t="shared" si="20"/>
        <v>1.2345679012345678E-2</v>
      </c>
      <c r="G1008" s="30"/>
      <c r="I1008" s="30"/>
      <c r="J1008" s="30"/>
    </row>
    <row r="1009" spans="1:10" x14ac:dyDescent="0.25">
      <c r="A1009" s="26">
        <v>10</v>
      </c>
      <c r="B1009" s="26">
        <v>8.5</v>
      </c>
      <c r="C1009" s="26">
        <v>3</v>
      </c>
      <c r="D1009" s="26">
        <v>1.5</v>
      </c>
      <c r="E1009" s="26">
        <v>122</v>
      </c>
      <c r="F1009" s="26">
        <f t="shared" si="20"/>
        <v>1.2295081967213115E-2</v>
      </c>
      <c r="G1009" s="30"/>
      <c r="I1009" s="30"/>
      <c r="J1009" s="30"/>
    </row>
    <row r="1010" spans="1:10" x14ac:dyDescent="0.25">
      <c r="A1010" s="26">
        <v>10</v>
      </c>
      <c r="B1010" s="26">
        <v>8.5</v>
      </c>
      <c r="C1010" s="26">
        <v>3</v>
      </c>
      <c r="D1010" s="26">
        <v>2</v>
      </c>
      <c r="E1010" s="26">
        <v>162</v>
      </c>
      <c r="F1010" s="26">
        <f t="shared" si="20"/>
        <v>1.2345679012345678E-2</v>
      </c>
      <c r="G1010" s="30"/>
      <c r="I1010" s="30"/>
      <c r="J1010" s="30"/>
    </row>
    <row r="1011" spans="1:10" x14ac:dyDescent="0.25">
      <c r="A1011" s="26">
        <v>10</v>
      </c>
      <c r="B1011" s="26">
        <v>8.5</v>
      </c>
      <c r="C1011" s="26">
        <v>3</v>
      </c>
      <c r="D1011" s="26">
        <v>2.5</v>
      </c>
      <c r="E1011" s="26">
        <v>203</v>
      </c>
      <c r="F1011" s="26">
        <f t="shared" si="20"/>
        <v>1.2315270935960592E-2</v>
      </c>
      <c r="G1011" s="30"/>
      <c r="I1011" s="30"/>
      <c r="J1011" s="30"/>
    </row>
    <row r="1012" spans="1:10" x14ac:dyDescent="0.25">
      <c r="A1012" s="73">
        <v>10</v>
      </c>
      <c r="B1012" s="26">
        <v>8.5</v>
      </c>
      <c r="C1012" s="73">
        <v>3</v>
      </c>
      <c r="D1012" s="73">
        <v>3</v>
      </c>
      <c r="E1012" s="26">
        <v>243</v>
      </c>
      <c r="F1012" s="26">
        <f t="shared" si="20"/>
        <v>1.2345679012345678E-2</v>
      </c>
      <c r="G1012" s="30"/>
      <c r="I1012" s="30"/>
      <c r="J1012" s="30"/>
    </row>
    <row r="1013" spans="1:10" x14ac:dyDescent="0.25">
      <c r="A1013" s="26">
        <v>15</v>
      </c>
      <c r="B1013" s="26">
        <v>7</v>
      </c>
      <c r="C1013" s="26">
        <v>0.4</v>
      </c>
      <c r="D1013" s="26">
        <v>0.5</v>
      </c>
      <c r="E1013" s="26">
        <v>12</v>
      </c>
      <c r="F1013" s="26">
        <f t="shared" si="20"/>
        <v>4.1666666666666664E-2</v>
      </c>
      <c r="G1013" s="30"/>
      <c r="I1013" s="30"/>
      <c r="J1013" s="30"/>
    </row>
    <row r="1014" spans="1:10" x14ac:dyDescent="0.25">
      <c r="A1014" s="26">
        <v>15</v>
      </c>
      <c r="B1014" s="26">
        <v>7</v>
      </c>
      <c r="C1014" s="26">
        <v>0.4</v>
      </c>
      <c r="D1014" s="26">
        <v>1</v>
      </c>
      <c r="E1014" s="26">
        <v>23</v>
      </c>
      <c r="F1014" s="26">
        <f t="shared" si="20"/>
        <v>4.3478260869565216E-2</v>
      </c>
      <c r="G1014" s="30"/>
      <c r="I1014" s="30"/>
      <c r="J1014" s="30"/>
    </row>
    <row r="1015" spans="1:10" x14ac:dyDescent="0.25">
      <c r="A1015" s="26">
        <v>15</v>
      </c>
      <c r="B1015" s="26">
        <v>7</v>
      </c>
      <c r="C1015" s="26">
        <v>0.4</v>
      </c>
      <c r="D1015" s="26">
        <v>1.5</v>
      </c>
      <c r="E1015" s="26">
        <v>35</v>
      </c>
      <c r="F1015" s="26">
        <f t="shared" si="20"/>
        <v>4.2857142857142858E-2</v>
      </c>
      <c r="G1015" s="30"/>
      <c r="I1015" s="30"/>
      <c r="J1015" s="30"/>
    </row>
    <row r="1016" spans="1:10" x14ac:dyDescent="0.25">
      <c r="A1016" s="26">
        <v>15</v>
      </c>
      <c r="B1016" s="26">
        <v>7</v>
      </c>
      <c r="C1016" s="26">
        <v>0.4</v>
      </c>
      <c r="D1016" s="26">
        <v>2</v>
      </c>
      <c r="E1016" s="26">
        <v>47</v>
      </c>
      <c r="F1016" s="26">
        <f t="shared" si="20"/>
        <v>4.2553191489361701E-2</v>
      </c>
      <c r="G1016" s="30"/>
      <c r="I1016" s="30"/>
      <c r="J1016" s="30"/>
    </row>
    <row r="1017" spans="1:10" x14ac:dyDescent="0.25">
      <c r="A1017" s="26">
        <v>15</v>
      </c>
      <c r="B1017" s="26">
        <v>7</v>
      </c>
      <c r="C1017" s="26">
        <v>0.4</v>
      </c>
      <c r="D1017" s="26">
        <v>2.5</v>
      </c>
      <c r="E1017" s="26">
        <v>58</v>
      </c>
      <c r="F1017" s="26">
        <f t="shared" si="20"/>
        <v>4.3103448275862072E-2</v>
      </c>
      <c r="G1017" s="30"/>
      <c r="I1017" s="30"/>
      <c r="J1017" s="30"/>
    </row>
    <row r="1018" spans="1:10" x14ac:dyDescent="0.25">
      <c r="A1018" s="26">
        <v>15</v>
      </c>
      <c r="B1018" s="26">
        <v>7</v>
      </c>
      <c r="C1018" s="26">
        <v>0.4</v>
      </c>
      <c r="D1018" s="26">
        <v>3</v>
      </c>
      <c r="E1018" s="26">
        <v>70</v>
      </c>
      <c r="F1018" s="26">
        <f t="shared" si="20"/>
        <v>4.2857142857142858E-2</v>
      </c>
      <c r="G1018" s="30"/>
      <c r="I1018" s="30"/>
      <c r="J1018" s="30"/>
    </row>
    <row r="1019" spans="1:10" x14ac:dyDescent="0.25">
      <c r="A1019" s="26">
        <v>15</v>
      </c>
      <c r="B1019" s="26">
        <v>7</v>
      </c>
      <c r="C1019" s="26">
        <v>0.6</v>
      </c>
      <c r="D1019" s="26">
        <v>0.5</v>
      </c>
      <c r="E1019" s="26">
        <v>12</v>
      </c>
      <c r="F1019" s="26">
        <f t="shared" si="20"/>
        <v>4.1666666666666664E-2</v>
      </c>
      <c r="G1019" s="30"/>
      <c r="I1019" s="30"/>
      <c r="J1019" s="30"/>
    </row>
    <row r="1020" spans="1:10" x14ac:dyDescent="0.25">
      <c r="A1020" s="26">
        <v>15</v>
      </c>
      <c r="B1020" s="26">
        <v>7</v>
      </c>
      <c r="C1020" s="26">
        <v>0.6</v>
      </c>
      <c r="D1020" s="26">
        <v>1</v>
      </c>
      <c r="E1020" s="26">
        <v>24</v>
      </c>
      <c r="F1020" s="26">
        <f t="shared" si="20"/>
        <v>4.1666666666666664E-2</v>
      </c>
      <c r="G1020" s="30"/>
      <c r="I1020" s="30"/>
      <c r="J1020" s="30"/>
    </row>
    <row r="1021" spans="1:10" x14ac:dyDescent="0.25">
      <c r="A1021" s="26">
        <v>15</v>
      </c>
      <c r="B1021" s="26">
        <v>7</v>
      </c>
      <c r="C1021" s="26">
        <v>0.6</v>
      </c>
      <c r="D1021" s="26">
        <v>1.5</v>
      </c>
      <c r="E1021" s="26">
        <v>36</v>
      </c>
      <c r="F1021" s="26">
        <f t="shared" si="20"/>
        <v>4.1666666666666664E-2</v>
      </c>
      <c r="G1021" s="30"/>
      <c r="I1021" s="30"/>
      <c r="J1021" s="30"/>
    </row>
    <row r="1022" spans="1:10" x14ac:dyDescent="0.25">
      <c r="A1022" s="26">
        <v>15</v>
      </c>
      <c r="B1022" s="26">
        <v>7</v>
      </c>
      <c r="C1022" s="26">
        <v>0.6</v>
      </c>
      <c r="D1022" s="26">
        <v>2</v>
      </c>
      <c r="E1022" s="26">
        <v>48</v>
      </c>
      <c r="F1022" s="26">
        <f t="shared" si="20"/>
        <v>4.1666666666666664E-2</v>
      </c>
      <c r="G1022" s="30"/>
      <c r="I1022" s="30"/>
      <c r="J1022" s="30"/>
    </row>
    <row r="1023" spans="1:10" x14ac:dyDescent="0.25">
      <c r="A1023" s="26">
        <v>15</v>
      </c>
      <c r="B1023" s="26">
        <v>7</v>
      </c>
      <c r="C1023" s="26">
        <v>0.6</v>
      </c>
      <c r="D1023" s="26">
        <v>2.5</v>
      </c>
      <c r="E1023" s="26">
        <v>60</v>
      </c>
      <c r="F1023" s="26">
        <f t="shared" si="20"/>
        <v>4.1666666666666664E-2</v>
      </c>
      <c r="G1023" s="30"/>
      <c r="I1023" s="30"/>
      <c r="J1023" s="30"/>
    </row>
    <row r="1024" spans="1:10" x14ac:dyDescent="0.25">
      <c r="A1024" s="26">
        <v>15</v>
      </c>
      <c r="B1024" s="26">
        <v>7</v>
      </c>
      <c r="C1024" s="26">
        <v>0.6</v>
      </c>
      <c r="D1024" s="26">
        <v>3</v>
      </c>
      <c r="E1024" s="26">
        <v>72</v>
      </c>
      <c r="F1024" s="26">
        <f t="shared" si="20"/>
        <v>4.1666666666666664E-2</v>
      </c>
      <c r="G1024" s="30"/>
      <c r="I1024" s="30"/>
      <c r="J1024" s="30"/>
    </row>
    <row r="1025" spans="1:10" x14ac:dyDescent="0.25">
      <c r="A1025" s="26">
        <v>15</v>
      </c>
      <c r="B1025" s="26">
        <v>7</v>
      </c>
      <c r="C1025" s="26">
        <v>0.8</v>
      </c>
      <c r="D1025" s="26">
        <v>0.5</v>
      </c>
      <c r="E1025" s="26">
        <v>12</v>
      </c>
      <c r="F1025" s="26">
        <f t="shared" si="20"/>
        <v>4.1666666666666664E-2</v>
      </c>
      <c r="G1025" s="30"/>
      <c r="I1025" s="30"/>
      <c r="J1025" s="30"/>
    </row>
    <row r="1026" spans="1:10" x14ac:dyDescent="0.25">
      <c r="A1026" s="26">
        <v>15</v>
      </c>
      <c r="B1026" s="26">
        <v>7</v>
      </c>
      <c r="C1026" s="26">
        <v>0.8</v>
      </c>
      <c r="D1026" s="26">
        <v>1</v>
      </c>
      <c r="E1026" s="26">
        <v>24</v>
      </c>
      <c r="F1026" s="26">
        <f t="shared" si="20"/>
        <v>4.1666666666666664E-2</v>
      </c>
      <c r="G1026" s="30"/>
      <c r="I1026" s="30"/>
      <c r="J1026" s="30"/>
    </row>
    <row r="1027" spans="1:10" x14ac:dyDescent="0.25">
      <c r="A1027" s="26">
        <v>15</v>
      </c>
      <c r="B1027" s="26">
        <v>7</v>
      </c>
      <c r="C1027" s="26">
        <v>0.8</v>
      </c>
      <c r="D1027" s="26">
        <v>1.5</v>
      </c>
      <c r="E1027" s="26">
        <v>37</v>
      </c>
      <c r="F1027" s="26">
        <f t="shared" si="20"/>
        <v>4.0540540540540543E-2</v>
      </c>
      <c r="G1027" s="30"/>
      <c r="I1027" s="30"/>
      <c r="J1027" s="30"/>
    </row>
    <row r="1028" spans="1:10" x14ac:dyDescent="0.25">
      <c r="A1028" s="26">
        <v>15</v>
      </c>
      <c r="B1028" s="26">
        <v>7</v>
      </c>
      <c r="C1028" s="26">
        <v>0.8</v>
      </c>
      <c r="D1028" s="26">
        <v>2</v>
      </c>
      <c r="E1028" s="26">
        <v>49</v>
      </c>
      <c r="F1028" s="26">
        <f t="shared" si="20"/>
        <v>4.0816326530612242E-2</v>
      </c>
      <c r="G1028" s="30"/>
      <c r="I1028" s="30"/>
      <c r="J1028" s="30"/>
    </row>
    <row r="1029" spans="1:10" x14ac:dyDescent="0.25">
      <c r="A1029" s="26">
        <v>15</v>
      </c>
      <c r="B1029" s="26">
        <v>7</v>
      </c>
      <c r="C1029" s="26">
        <v>0.8</v>
      </c>
      <c r="D1029" s="26">
        <v>2.5</v>
      </c>
      <c r="E1029" s="26">
        <v>61</v>
      </c>
      <c r="F1029" s="26">
        <f t="shared" ref="F1029:F1092" si="21">D1029/E1029</f>
        <v>4.0983606557377046E-2</v>
      </c>
      <c r="G1029" s="30"/>
      <c r="I1029" s="30"/>
      <c r="J1029" s="30"/>
    </row>
    <row r="1030" spans="1:10" x14ac:dyDescent="0.25">
      <c r="A1030" s="26">
        <v>15</v>
      </c>
      <c r="B1030" s="26">
        <v>7</v>
      </c>
      <c r="C1030" s="26">
        <v>0.8</v>
      </c>
      <c r="D1030" s="26">
        <v>3</v>
      </c>
      <c r="E1030" s="26">
        <v>73</v>
      </c>
      <c r="F1030" s="26">
        <f t="shared" si="21"/>
        <v>4.1095890410958902E-2</v>
      </c>
      <c r="G1030" s="30"/>
      <c r="I1030" s="30"/>
      <c r="J1030" s="30"/>
    </row>
    <row r="1031" spans="1:10" x14ac:dyDescent="0.25">
      <c r="A1031" s="26">
        <v>15</v>
      </c>
      <c r="B1031" s="26">
        <v>7</v>
      </c>
      <c r="C1031" s="26">
        <v>1</v>
      </c>
      <c r="D1031" s="26">
        <v>0.5</v>
      </c>
      <c r="E1031" s="26">
        <v>13</v>
      </c>
      <c r="F1031" s="26">
        <f t="shared" si="21"/>
        <v>3.8461538461538464E-2</v>
      </c>
      <c r="G1031" s="30"/>
      <c r="I1031" s="30"/>
      <c r="J1031" s="30"/>
    </row>
    <row r="1032" spans="1:10" x14ac:dyDescent="0.25">
      <c r="A1032" s="26">
        <v>15</v>
      </c>
      <c r="B1032" s="26">
        <v>7</v>
      </c>
      <c r="C1032" s="26">
        <v>1</v>
      </c>
      <c r="D1032" s="26">
        <v>1</v>
      </c>
      <c r="E1032" s="26">
        <v>25</v>
      </c>
      <c r="F1032" s="26">
        <f t="shared" si="21"/>
        <v>0.04</v>
      </c>
      <c r="G1032" s="30"/>
      <c r="I1032" s="30"/>
      <c r="J1032" s="30"/>
    </row>
    <row r="1033" spans="1:10" x14ac:dyDescent="0.25">
      <c r="A1033" s="26">
        <v>15</v>
      </c>
      <c r="B1033" s="26">
        <v>7</v>
      </c>
      <c r="C1033" s="26">
        <v>1</v>
      </c>
      <c r="D1033" s="26">
        <v>1.5</v>
      </c>
      <c r="E1033" s="26">
        <v>38</v>
      </c>
      <c r="F1033" s="26">
        <f t="shared" si="21"/>
        <v>3.9473684210526314E-2</v>
      </c>
      <c r="G1033" s="30"/>
      <c r="I1033" s="30"/>
      <c r="J1033" s="30"/>
    </row>
    <row r="1034" spans="1:10" x14ac:dyDescent="0.25">
      <c r="A1034" s="26">
        <v>15</v>
      </c>
      <c r="B1034" s="26">
        <v>7</v>
      </c>
      <c r="C1034" s="26">
        <v>1</v>
      </c>
      <c r="D1034" s="26">
        <v>2</v>
      </c>
      <c r="E1034" s="26">
        <v>50</v>
      </c>
      <c r="F1034" s="26">
        <f t="shared" si="21"/>
        <v>0.04</v>
      </c>
      <c r="G1034" s="30"/>
      <c r="I1034" s="30"/>
      <c r="J1034" s="30"/>
    </row>
    <row r="1035" spans="1:10" x14ac:dyDescent="0.25">
      <c r="A1035" s="26">
        <v>15</v>
      </c>
      <c r="B1035" s="26">
        <v>7</v>
      </c>
      <c r="C1035" s="26">
        <v>1</v>
      </c>
      <c r="D1035" s="26">
        <v>2.5</v>
      </c>
      <c r="E1035" s="26">
        <v>63</v>
      </c>
      <c r="F1035" s="26">
        <f t="shared" si="21"/>
        <v>3.968253968253968E-2</v>
      </c>
      <c r="G1035" s="30"/>
      <c r="I1035" s="30"/>
      <c r="J1035" s="30"/>
    </row>
    <row r="1036" spans="1:10" x14ac:dyDescent="0.25">
      <c r="A1036" s="26">
        <v>15</v>
      </c>
      <c r="B1036" s="26">
        <v>7</v>
      </c>
      <c r="C1036" s="26">
        <v>1</v>
      </c>
      <c r="D1036" s="26">
        <v>3</v>
      </c>
      <c r="E1036" s="26">
        <v>75</v>
      </c>
      <c r="F1036" s="26">
        <f t="shared" si="21"/>
        <v>0.04</v>
      </c>
      <c r="G1036" s="30"/>
      <c r="I1036" s="30"/>
      <c r="J1036" s="30"/>
    </row>
    <row r="1037" spans="1:10" x14ac:dyDescent="0.25">
      <c r="A1037" s="26">
        <v>15</v>
      </c>
      <c r="B1037" s="26">
        <v>7</v>
      </c>
      <c r="C1037" s="26">
        <v>1.2</v>
      </c>
      <c r="D1037" s="26">
        <v>0.5</v>
      </c>
      <c r="E1037" s="26">
        <v>13</v>
      </c>
      <c r="F1037" s="26">
        <f t="shared" si="21"/>
        <v>3.8461538461538464E-2</v>
      </c>
      <c r="G1037" s="30"/>
      <c r="I1037" s="30"/>
      <c r="J1037" s="30"/>
    </row>
    <row r="1038" spans="1:10" x14ac:dyDescent="0.25">
      <c r="A1038" s="26">
        <v>15</v>
      </c>
      <c r="B1038" s="26">
        <v>7</v>
      </c>
      <c r="C1038" s="26">
        <v>1.2</v>
      </c>
      <c r="D1038" s="26">
        <v>1</v>
      </c>
      <c r="E1038" s="26">
        <v>25</v>
      </c>
      <c r="F1038" s="26">
        <f t="shared" si="21"/>
        <v>0.04</v>
      </c>
      <c r="G1038" s="30"/>
      <c r="I1038" s="30"/>
      <c r="J1038" s="30"/>
    </row>
    <row r="1039" spans="1:10" x14ac:dyDescent="0.25">
      <c r="A1039" s="26">
        <v>15</v>
      </c>
      <c r="B1039" s="26">
        <v>7</v>
      </c>
      <c r="C1039" s="26">
        <v>1.2</v>
      </c>
      <c r="D1039" s="26">
        <v>1.5</v>
      </c>
      <c r="E1039" s="26">
        <v>38</v>
      </c>
      <c r="F1039" s="26">
        <f t="shared" si="21"/>
        <v>3.9473684210526314E-2</v>
      </c>
      <c r="G1039" s="30"/>
      <c r="I1039" s="30"/>
      <c r="J1039" s="30"/>
    </row>
    <row r="1040" spans="1:10" x14ac:dyDescent="0.25">
      <c r="A1040" s="26">
        <v>15</v>
      </c>
      <c r="B1040" s="26">
        <v>7</v>
      </c>
      <c r="C1040" s="26">
        <v>1.2</v>
      </c>
      <c r="D1040" s="26">
        <v>2</v>
      </c>
      <c r="E1040" s="26">
        <v>51</v>
      </c>
      <c r="F1040" s="26">
        <f t="shared" si="21"/>
        <v>3.9215686274509803E-2</v>
      </c>
      <c r="G1040" s="30"/>
      <c r="I1040" s="30"/>
      <c r="J1040" s="30"/>
    </row>
    <row r="1041" spans="1:10" x14ac:dyDescent="0.25">
      <c r="A1041" s="26">
        <v>15</v>
      </c>
      <c r="B1041" s="26">
        <v>7</v>
      </c>
      <c r="C1041" s="26">
        <v>1.2</v>
      </c>
      <c r="D1041" s="26">
        <v>2.5</v>
      </c>
      <c r="E1041" s="26">
        <v>63</v>
      </c>
      <c r="F1041" s="26">
        <f t="shared" si="21"/>
        <v>3.968253968253968E-2</v>
      </c>
      <c r="G1041" s="30"/>
      <c r="I1041" s="30"/>
      <c r="J1041" s="30"/>
    </row>
    <row r="1042" spans="1:10" x14ac:dyDescent="0.25">
      <c r="A1042" s="26">
        <v>15</v>
      </c>
      <c r="B1042" s="26">
        <v>7</v>
      </c>
      <c r="C1042" s="26">
        <v>1.2</v>
      </c>
      <c r="D1042" s="26">
        <v>3</v>
      </c>
      <c r="E1042" s="26">
        <v>76</v>
      </c>
      <c r="F1042" s="26">
        <f t="shared" si="21"/>
        <v>3.9473684210526314E-2</v>
      </c>
      <c r="G1042" s="30"/>
      <c r="I1042" s="30"/>
      <c r="J1042" s="30"/>
    </row>
    <row r="1043" spans="1:10" x14ac:dyDescent="0.25">
      <c r="A1043" s="26">
        <v>15</v>
      </c>
      <c r="B1043" s="26">
        <v>7</v>
      </c>
      <c r="C1043" s="26">
        <v>1.4</v>
      </c>
      <c r="D1043" s="26">
        <v>0.5</v>
      </c>
      <c r="E1043" s="26">
        <v>13</v>
      </c>
      <c r="F1043" s="26">
        <f t="shared" si="21"/>
        <v>3.8461538461538464E-2</v>
      </c>
      <c r="G1043" s="30"/>
      <c r="I1043" s="30"/>
      <c r="J1043" s="30"/>
    </row>
    <row r="1044" spans="1:10" x14ac:dyDescent="0.25">
      <c r="A1044" s="26">
        <v>15</v>
      </c>
      <c r="B1044" s="26">
        <v>7</v>
      </c>
      <c r="C1044" s="26">
        <v>1.4</v>
      </c>
      <c r="D1044" s="26">
        <v>1</v>
      </c>
      <c r="E1044" s="26">
        <v>26</v>
      </c>
      <c r="F1044" s="26">
        <f t="shared" si="21"/>
        <v>3.8461538461538464E-2</v>
      </c>
      <c r="G1044" s="30"/>
      <c r="I1044" s="30"/>
      <c r="J1044" s="30"/>
    </row>
    <row r="1045" spans="1:10" x14ac:dyDescent="0.25">
      <c r="A1045" s="26">
        <v>15</v>
      </c>
      <c r="B1045" s="26">
        <v>7</v>
      </c>
      <c r="C1045" s="26">
        <v>1.4</v>
      </c>
      <c r="D1045" s="26">
        <v>1.5</v>
      </c>
      <c r="E1045" s="26">
        <v>39</v>
      </c>
      <c r="F1045" s="26">
        <f t="shared" si="21"/>
        <v>3.8461538461538464E-2</v>
      </c>
      <c r="G1045" s="30"/>
      <c r="I1045" s="30"/>
      <c r="J1045" s="30"/>
    </row>
    <row r="1046" spans="1:10" x14ac:dyDescent="0.25">
      <c r="A1046" s="26">
        <v>15</v>
      </c>
      <c r="B1046" s="26">
        <v>7</v>
      </c>
      <c r="C1046" s="26">
        <v>1.4</v>
      </c>
      <c r="D1046" s="26">
        <v>2</v>
      </c>
      <c r="E1046" s="26">
        <v>52</v>
      </c>
      <c r="F1046" s="26">
        <f t="shared" si="21"/>
        <v>3.8461538461538464E-2</v>
      </c>
      <c r="G1046" s="30"/>
      <c r="I1046" s="30"/>
      <c r="J1046" s="30"/>
    </row>
    <row r="1047" spans="1:10" x14ac:dyDescent="0.25">
      <c r="A1047" s="26">
        <v>15</v>
      </c>
      <c r="B1047" s="26">
        <v>7</v>
      </c>
      <c r="C1047" s="26">
        <v>1.4</v>
      </c>
      <c r="D1047" s="26">
        <v>2.5</v>
      </c>
      <c r="E1047" s="26">
        <v>65</v>
      </c>
      <c r="F1047" s="26">
        <f t="shared" si="21"/>
        <v>3.8461538461538464E-2</v>
      </c>
      <c r="G1047" s="30"/>
    </row>
    <row r="1048" spans="1:10" x14ac:dyDescent="0.25">
      <c r="A1048" s="26">
        <v>15</v>
      </c>
      <c r="B1048" s="26">
        <v>7</v>
      </c>
      <c r="C1048" s="26">
        <v>1.4</v>
      </c>
      <c r="D1048" s="26">
        <v>3</v>
      </c>
      <c r="E1048" s="26">
        <v>78</v>
      </c>
      <c r="F1048" s="26">
        <f t="shared" si="21"/>
        <v>3.8461538461538464E-2</v>
      </c>
      <c r="G1048" s="30"/>
    </row>
    <row r="1049" spans="1:10" x14ac:dyDescent="0.25">
      <c r="A1049" s="26">
        <v>15</v>
      </c>
      <c r="B1049" s="26">
        <v>7</v>
      </c>
      <c r="C1049" s="26">
        <v>1.6</v>
      </c>
      <c r="D1049" s="26">
        <v>0.5</v>
      </c>
      <c r="E1049" s="26">
        <v>13</v>
      </c>
      <c r="F1049" s="26">
        <f t="shared" si="21"/>
        <v>3.8461538461538464E-2</v>
      </c>
      <c r="G1049" s="30"/>
    </row>
    <row r="1050" spans="1:10" x14ac:dyDescent="0.25">
      <c r="A1050" s="26">
        <v>15</v>
      </c>
      <c r="B1050" s="26">
        <v>7</v>
      </c>
      <c r="C1050" s="26">
        <v>1.6</v>
      </c>
      <c r="D1050" s="26">
        <v>1</v>
      </c>
      <c r="E1050" s="26">
        <v>26</v>
      </c>
      <c r="F1050" s="26">
        <f t="shared" si="21"/>
        <v>3.8461538461538464E-2</v>
      </c>
      <c r="G1050" s="30"/>
    </row>
    <row r="1051" spans="1:10" x14ac:dyDescent="0.25">
      <c r="A1051" s="26">
        <v>15</v>
      </c>
      <c r="B1051" s="26">
        <v>7</v>
      </c>
      <c r="C1051" s="26">
        <v>1.6</v>
      </c>
      <c r="D1051" s="26">
        <v>1.5</v>
      </c>
      <c r="E1051" s="26">
        <v>40</v>
      </c>
      <c r="F1051" s="26">
        <f t="shared" si="21"/>
        <v>3.7499999999999999E-2</v>
      </c>
      <c r="G1051" s="30"/>
    </row>
    <row r="1052" spans="1:10" x14ac:dyDescent="0.25">
      <c r="A1052" s="26">
        <v>15</v>
      </c>
      <c r="B1052" s="26">
        <v>7</v>
      </c>
      <c r="C1052" s="26">
        <v>1.6</v>
      </c>
      <c r="D1052" s="26">
        <v>2</v>
      </c>
      <c r="E1052" s="26">
        <v>53</v>
      </c>
      <c r="F1052" s="26">
        <f t="shared" si="21"/>
        <v>3.7735849056603772E-2</v>
      </c>
      <c r="G1052" s="30"/>
    </row>
    <row r="1053" spans="1:10" x14ac:dyDescent="0.25">
      <c r="A1053" s="26">
        <v>15</v>
      </c>
      <c r="B1053" s="26">
        <v>7</v>
      </c>
      <c r="C1053" s="26">
        <v>1.6</v>
      </c>
      <c r="D1053" s="26">
        <v>2.5</v>
      </c>
      <c r="E1053" s="26">
        <v>66</v>
      </c>
      <c r="F1053" s="26">
        <f t="shared" si="21"/>
        <v>3.787878787878788E-2</v>
      </c>
      <c r="G1053" s="30"/>
    </row>
    <row r="1054" spans="1:10" x14ac:dyDescent="0.25">
      <c r="A1054" s="26">
        <v>15</v>
      </c>
      <c r="B1054" s="26">
        <v>7</v>
      </c>
      <c r="C1054" s="26">
        <v>1.6</v>
      </c>
      <c r="D1054" s="26">
        <v>3</v>
      </c>
      <c r="E1054" s="26">
        <v>79</v>
      </c>
      <c r="F1054" s="26">
        <f t="shared" si="21"/>
        <v>3.7974683544303799E-2</v>
      </c>
      <c r="G1054" s="30"/>
    </row>
    <row r="1055" spans="1:10" x14ac:dyDescent="0.25">
      <c r="A1055" s="26">
        <v>15</v>
      </c>
      <c r="B1055" s="26">
        <v>7</v>
      </c>
      <c r="C1055" s="26">
        <v>1.8</v>
      </c>
      <c r="D1055" s="26">
        <v>0.5</v>
      </c>
      <c r="E1055" s="26">
        <v>14</v>
      </c>
      <c r="F1055" s="26">
        <f t="shared" si="21"/>
        <v>3.5714285714285712E-2</v>
      </c>
      <c r="G1055" s="30"/>
    </row>
    <row r="1056" spans="1:10" x14ac:dyDescent="0.25">
      <c r="A1056" s="26">
        <v>15</v>
      </c>
      <c r="B1056" s="26">
        <v>7</v>
      </c>
      <c r="C1056" s="26">
        <v>1.8</v>
      </c>
      <c r="D1056" s="26">
        <v>1</v>
      </c>
      <c r="E1056" s="26">
        <v>27</v>
      </c>
      <c r="F1056" s="26">
        <f t="shared" si="21"/>
        <v>3.7037037037037035E-2</v>
      </c>
      <c r="G1056" s="30"/>
    </row>
    <row r="1057" spans="1:7" x14ac:dyDescent="0.25">
      <c r="A1057" s="26">
        <v>15</v>
      </c>
      <c r="B1057" s="26">
        <v>7</v>
      </c>
      <c r="C1057" s="26">
        <v>1.8</v>
      </c>
      <c r="D1057" s="26">
        <v>1.5</v>
      </c>
      <c r="E1057" s="26">
        <v>41</v>
      </c>
      <c r="F1057" s="26">
        <f t="shared" si="21"/>
        <v>3.6585365853658534E-2</v>
      </c>
      <c r="G1057" s="30"/>
    </row>
    <row r="1058" spans="1:7" x14ac:dyDescent="0.25">
      <c r="A1058" s="26">
        <v>15</v>
      </c>
      <c r="B1058" s="26">
        <v>7</v>
      </c>
      <c r="C1058" s="26">
        <v>1.8</v>
      </c>
      <c r="D1058" s="26">
        <v>2</v>
      </c>
      <c r="E1058" s="26">
        <v>54</v>
      </c>
      <c r="F1058" s="26">
        <f t="shared" si="21"/>
        <v>3.7037037037037035E-2</v>
      </c>
      <c r="G1058" s="30"/>
    </row>
    <row r="1059" spans="1:7" x14ac:dyDescent="0.25">
      <c r="A1059" s="26">
        <v>15</v>
      </c>
      <c r="B1059" s="26">
        <v>7</v>
      </c>
      <c r="C1059" s="26">
        <v>1.8</v>
      </c>
      <c r="D1059" s="26">
        <v>2.5</v>
      </c>
      <c r="E1059" s="26">
        <v>68</v>
      </c>
      <c r="F1059" s="26">
        <f t="shared" si="21"/>
        <v>3.6764705882352942E-2</v>
      </c>
      <c r="G1059" s="30"/>
    </row>
    <row r="1060" spans="1:7" x14ac:dyDescent="0.25">
      <c r="A1060" s="26">
        <v>15</v>
      </c>
      <c r="B1060" s="26">
        <v>7</v>
      </c>
      <c r="C1060" s="26">
        <v>1.8</v>
      </c>
      <c r="D1060" s="26">
        <v>3</v>
      </c>
      <c r="E1060" s="26">
        <v>81</v>
      </c>
      <c r="F1060" s="26">
        <f t="shared" si="21"/>
        <v>3.7037037037037035E-2</v>
      </c>
      <c r="G1060" s="30"/>
    </row>
    <row r="1061" spans="1:7" x14ac:dyDescent="0.25">
      <c r="A1061" s="26">
        <v>15</v>
      </c>
      <c r="B1061" s="26">
        <v>7</v>
      </c>
      <c r="C1061" s="26">
        <v>2</v>
      </c>
      <c r="D1061" s="26">
        <v>0.5</v>
      </c>
      <c r="E1061" s="26">
        <v>14</v>
      </c>
      <c r="F1061" s="26">
        <f t="shared" si="21"/>
        <v>3.5714285714285712E-2</v>
      </c>
      <c r="G1061" s="30"/>
    </row>
    <row r="1062" spans="1:7" x14ac:dyDescent="0.25">
      <c r="A1062" s="26">
        <v>15</v>
      </c>
      <c r="B1062" s="26">
        <v>7</v>
      </c>
      <c r="C1062" s="26">
        <v>2</v>
      </c>
      <c r="D1062" s="26">
        <v>1</v>
      </c>
      <c r="E1062" s="26">
        <v>28</v>
      </c>
      <c r="F1062" s="26">
        <f t="shared" si="21"/>
        <v>3.5714285714285712E-2</v>
      </c>
      <c r="G1062" s="30"/>
    </row>
    <row r="1063" spans="1:7" x14ac:dyDescent="0.25">
      <c r="A1063" s="26">
        <v>15</v>
      </c>
      <c r="B1063" s="26">
        <v>7</v>
      </c>
      <c r="C1063" s="26">
        <v>2</v>
      </c>
      <c r="D1063" s="26">
        <v>1.5</v>
      </c>
      <c r="E1063" s="26">
        <v>42</v>
      </c>
      <c r="F1063" s="26">
        <f t="shared" si="21"/>
        <v>3.5714285714285712E-2</v>
      </c>
      <c r="G1063" s="30"/>
    </row>
    <row r="1064" spans="1:7" x14ac:dyDescent="0.25">
      <c r="A1064" s="26">
        <v>15</v>
      </c>
      <c r="B1064" s="26">
        <v>7</v>
      </c>
      <c r="C1064" s="26">
        <v>2</v>
      </c>
      <c r="D1064" s="26">
        <v>2</v>
      </c>
      <c r="E1064" s="26">
        <v>55</v>
      </c>
      <c r="F1064" s="26">
        <f t="shared" si="21"/>
        <v>3.6363636363636362E-2</v>
      </c>
      <c r="G1064" s="30"/>
    </row>
    <row r="1065" spans="1:7" x14ac:dyDescent="0.25">
      <c r="A1065" s="26">
        <v>15</v>
      </c>
      <c r="B1065" s="26">
        <v>7</v>
      </c>
      <c r="C1065" s="26">
        <v>2</v>
      </c>
      <c r="D1065" s="26">
        <v>2.5</v>
      </c>
      <c r="E1065" s="26">
        <v>69</v>
      </c>
      <c r="F1065" s="26">
        <f t="shared" si="21"/>
        <v>3.6231884057971016E-2</v>
      </c>
      <c r="G1065" s="30"/>
    </row>
    <row r="1066" spans="1:7" x14ac:dyDescent="0.25">
      <c r="A1066" s="26">
        <v>15</v>
      </c>
      <c r="B1066" s="26">
        <v>7</v>
      </c>
      <c r="C1066" s="26">
        <v>2</v>
      </c>
      <c r="D1066" s="26">
        <v>3</v>
      </c>
      <c r="E1066" s="26">
        <v>83</v>
      </c>
      <c r="F1066" s="26">
        <f t="shared" si="21"/>
        <v>3.614457831325301E-2</v>
      </c>
      <c r="G1066" s="30"/>
    </row>
    <row r="1067" spans="1:7" x14ac:dyDescent="0.25">
      <c r="A1067" s="26">
        <v>15</v>
      </c>
      <c r="B1067" s="26">
        <v>7</v>
      </c>
      <c r="C1067" s="26">
        <v>2.2000000000000002</v>
      </c>
      <c r="D1067" s="26">
        <v>0.5</v>
      </c>
      <c r="E1067" s="26">
        <v>14</v>
      </c>
      <c r="F1067" s="26">
        <f t="shared" si="21"/>
        <v>3.5714285714285712E-2</v>
      </c>
      <c r="G1067" s="30"/>
    </row>
    <row r="1068" spans="1:7" x14ac:dyDescent="0.25">
      <c r="A1068" s="26">
        <v>15</v>
      </c>
      <c r="B1068" s="26">
        <v>7</v>
      </c>
      <c r="C1068" s="26">
        <v>2.2000000000000002</v>
      </c>
      <c r="D1068" s="26">
        <v>1</v>
      </c>
      <c r="E1068" s="26">
        <v>28</v>
      </c>
      <c r="F1068" s="26">
        <f t="shared" si="21"/>
        <v>3.5714285714285712E-2</v>
      </c>
      <c r="G1068" s="30"/>
    </row>
    <row r="1069" spans="1:7" x14ac:dyDescent="0.25">
      <c r="A1069" s="26">
        <v>15</v>
      </c>
      <c r="B1069" s="26">
        <v>7</v>
      </c>
      <c r="C1069" s="26">
        <v>2.2000000000000002</v>
      </c>
      <c r="D1069" s="26">
        <v>1.5</v>
      </c>
      <c r="E1069" s="26">
        <v>43</v>
      </c>
      <c r="F1069" s="26">
        <f t="shared" si="21"/>
        <v>3.4883720930232558E-2</v>
      </c>
      <c r="G1069" s="30"/>
    </row>
    <row r="1070" spans="1:7" x14ac:dyDescent="0.25">
      <c r="A1070" s="26">
        <v>15</v>
      </c>
      <c r="B1070" s="26">
        <v>7</v>
      </c>
      <c r="C1070" s="26">
        <v>2.2000000000000002</v>
      </c>
      <c r="D1070" s="26">
        <v>2</v>
      </c>
      <c r="E1070" s="26">
        <v>57</v>
      </c>
      <c r="F1070" s="26">
        <f t="shared" si="21"/>
        <v>3.5087719298245612E-2</v>
      </c>
      <c r="G1070" s="30"/>
    </row>
    <row r="1071" spans="1:7" x14ac:dyDescent="0.25">
      <c r="A1071" s="26">
        <v>15</v>
      </c>
      <c r="B1071" s="26">
        <v>7</v>
      </c>
      <c r="C1071" s="26">
        <v>2.2000000000000002</v>
      </c>
      <c r="D1071" s="26">
        <v>2.5</v>
      </c>
      <c r="E1071" s="26">
        <v>71</v>
      </c>
      <c r="F1071" s="26">
        <f t="shared" si="21"/>
        <v>3.5211267605633804E-2</v>
      </c>
      <c r="G1071" s="30"/>
    </row>
    <row r="1072" spans="1:7" x14ac:dyDescent="0.25">
      <c r="A1072" s="26">
        <v>15</v>
      </c>
      <c r="B1072" s="26">
        <v>7</v>
      </c>
      <c r="C1072" s="26">
        <v>2.2000000000000002</v>
      </c>
      <c r="D1072" s="26">
        <v>3</v>
      </c>
      <c r="E1072" s="26">
        <v>85</v>
      </c>
      <c r="F1072" s="26">
        <f t="shared" si="21"/>
        <v>3.5294117647058823E-2</v>
      </c>
      <c r="G1072" s="30"/>
    </row>
    <row r="1073" spans="1:7" x14ac:dyDescent="0.25">
      <c r="A1073" s="26">
        <v>15</v>
      </c>
      <c r="B1073" s="26">
        <v>7</v>
      </c>
      <c r="C1073" s="26">
        <v>2.4</v>
      </c>
      <c r="D1073" s="26">
        <v>0.5</v>
      </c>
      <c r="E1073" s="26">
        <v>14</v>
      </c>
      <c r="F1073" s="26">
        <f t="shared" si="21"/>
        <v>3.5714285714285712E-2</v>
      </c>
      <c r="G1073" s="30"/>
    </row>
    <row r="1074" spans="1:7" x14ac:dyDescent="0.25">
      <c r="A1074" s="26">
        <v>15</v>
      </c>
      <c r="B1074" s="26">
        <v>7</v>
      </c>
      <c r="C1074" s="26">
        <v>2.4</v>
      </c>
      <c r="D1074" s="26">
        <v>1</v>
      </c>
      <c r="E1074" s="26">
        <v>29</v>
      </c>
      <c r="F1074" s="26">
        <f t="shared" si="21"/>
        <v>3.4482758620689655E-2</v>
      </c>
      <c r="G1074" s="30"/>
    </row>
    <row r="1075" spans="1:7" x14ac:dyDescent="0.25">
      <c r="A1075" s="26">
        <v>15</v>
      </c>
      <c r="B1075" s="26">
        <v>7</v>
      </c>
      <c r="C1075" s="26">
        <v>2.4</v>
      </c>
      <c r="D1075" s="26">
        <v>1.5</v>
      </c>
      <c r="E1075" s="26">
        <v>43</v>
      </c>
      <c r="F1075" s="26">
        <f t="shared" si="21"/>
        <v>3.4883720930232558E-2</v>
      </c>
      <c r="G1075" s="30"/>
    </row>
    <row r="1076" spans="1:7" x14ac:dyDescent="0.25">
      <c r="A1076" s="26">
        <v>15</v>
      </c>
      <c r="B1076" s="26">
        <v>7</v>
      </c>
      <c r="C1076" s="26">
        <v>2.4</v>
      </c>
      <c r="D1076" s="26">
        <v>2</v>
      </c>
      <c r="E1076" s="26">
        <v>57</v>
      </c>
      <c r="F1076" s="26">
        <f t="shared" si="21"/>
        <v>3.5087719298245612E-2</v>
      </c>
      <c r="G1076" s="30"/>
    </row>
    <row r="1077" spans="1:7" x14ac:dyDescent="0.25">
      <c r="A1077" s="26">
        <v>15</v>
      </c>
      <c r="B1077" s="26">
        <v>7</v>
      </c>
      <c r="C1077" s="26">
        <v>2.4</v>
      </c>
      <c r="D1077" s="26">
        <v>2.5</v>
      </c>
      <c r="E1077" s="26">
        <v>72</v>
      </c>
      <c r="F1077" s="26">
        <f t="shared" si="21"/>
        <v>3.4722222222222224E-2</v>
      </c>
      <c r="G1077" s="30"/>
    </row>
    <row r="1078" spans="1:7" x14ac:dyDescent="0.25">
      <c r="A1078" s="26">
        <v>15</v>
      </c>
      <c r="B1078" s="26">
        <v>7</v>
      </c>
      <c r="C1078" s="26">
        <v>2.4</v>
      </c>
      <c r="D1078" s="26">
        <v>3</v>
      </c>
      <c r="E1078" s="26">
        <v>86</v>
      </c>
      <c r="F1078" s="26">
        <f t="shared" si="21"/>
        <v>3.4883720930232558E-2</v>
      </c>
      <c r="G1078" s="30"/>
    </row>
    <row r="1079" spans="1:7" x14ac:dyDescent="0.25">
      <c r="A1079" s="26">
        <v>15</v>
      </c>
      <c r="B1079" s="26">
        <v>7</v>
      </c>
      <c r="C1079" s="26">
        <v>2.6</v>
      </c>
      <c r="D1079" s="26">
        <v>0.5</v>
      </c>
      <c r="E1079" s="26">
        <v>15</v>
      </c>
      <c r="F1079" s="26">
        <f t="shared" si="21"/>
        <v>3.3333333333333333E-2</v>
      </c>
      <c r="G1079" s="30"/>
    </row>
    <row r="1080" spans="1:7" x14ac:dyDescent="0.25">
      <c r="A1080" s="26">
        <v>15</v>
      </c>
      <c r="B1080" s="26">
        <v>7</v>
      </c>
      <c r="C1080" s="26">
        <v>2.6</v>
      </c>
      <c r="D1080" s="26">
        <v>1</v>
      </c>
      <c r="E1080" s="26">
        <v>29</v>
      </c>
      <c r="F1080" s="26">
        <f t="shared" si="21"/>
        <v>3.4482758620689655E-2</v>
      </c>
      <c r="G1080" s="30"/>
    </row>
    <row r="1081" spans="1:7" x14ac:dyDescent="0.25">
      <c r="A1081" s="26">
        <v>15</v>
      </c>
      <c r="B1081" s="26">
        <v>7</v>
      </c>
      <c r="C1081" s="26">
        <v>2.6</v>
      </c>
      <c r="D1081" s="26">
        <v>1.5</v>
      </c>
      <c r="E1081" s="26">
        <v>44</v>
      </c>
      <c r="F1081" s="26">
        <f t="shared" si="21"/>
        <v>3.4090909090909088E-2</v>
      </c>
      <c r="G1081" s="30"/>
    </row>
    <row r="1082" spans="1:7" x14ac:dyDescent="0.25">
      <c r="A1082" s="26">
        <v>15</v>
      </c>
      <c r="B1082" s="26">
        <v>7</v>
      </c>
      <c r="C1082" s="26">
        <v>2.6</v>
      </c>
      <c r="D1082" s="26">
        <v>2</v>
      </c>
      <c r="E1082" s="26">
        <v>59</v>
      </c>
      <c r="F1082" s="26">
        <f t="shared" si="21"/>
        <v>3.3898305084745763E-2</v>
      </c>
      <c r="G1082" s="30"/>
    </row>
    <row r="1083" spans="1:7" x14ac:dyDescent="0.25">
      <c r="A1083" s="26">
        <v>15</v>
      </c>
      <c r="B1083" s="26">
        <v>7</v>
      </c>
      <c r="C1083" s="26">
        <v>2.6</v>
      </c>
      <c r="D1083" s="26">
        <v>2.5</v>
      </c>
      <c r="E1083" s="26">
        <v>73</v>
      </c>
      <c r="F1083" s="26">
        <f t="shared" si="21"/>
        <v>3.4246575342465752E-2</v>
      </c>
      <c r="G1083" s="30"/>
    </row>
    <row r="1084" spans="1:7" x14ac:dyDescent="0.25">
      <c r="A1084" s="26">
        <v>15</v>
      </c>
      <c r="B1084" s="26">
        <v>7</v>
      </c>
      <c r="C1084" s="26">
        <v>2.6</v>
      </c>
      <c r="D1084" s="26">
        <v>3</v>
      </c>
      <c r="E1084" s="26">
        <v>88</v>
      </c>
      <c r="F1084" s="26">
        <f t="shared" si="21"/>
        <v>3.4090909090909088E-2</v>
      </c>
      <c r="G1084" s="30"/>
    </row>
    <row r="1085" spans="1:7" x14ac:dyDescent="0.25">
      <c r="A1085" s="26">
        <v>15</v>
      </c>
      <c r="B1085" s="26">
        <v>7</v>
      </c>
      <c r="C1085" s="26">
        <v>2.8</v>
      </c>
      <c r="D1085" s="26">
        <v>0.5</v>
      </c>
      <c r="E1085" s="26">
        <v>15</v>
      </c>
      <c r="F1085" s="26">
        <f t="shared" si="21"/>
        <v>3.3333333333333333E-2</v>
      </c>
      <c r="G1085" s="30"/>
    </row>
    <row r="1086" spans="1:7" x14ac:dyDescent="0.25">
      <c r="A1086" s="26">
        <v>15</v>
      </c>
      <c r="B1086" s="26">
        <v>7</v>
      </c>
      <c r="C1086" s="26">
        <v>2.8</v>
      </c>
      <c r="D1086" s="26">
        <v>1</v>
      </c>
      <c r="E1086" s="26">
        <v>30</v>
      </c>
      <c r="F1086" s="26">
        <f t="shared" si="21"/>
        <v>3.3333333333333333E-2</v>
      </c>
      <c r="G1086" s="30"/>
    </row>
    <row r="1087" spans="1:7" x14ac:dyDescent="0.25">
      <c r="A1087" s="26">
        <v>15</v>
      </c>
      <c r="B1087" s="26">
        <v>7</v>
      </c>
      <c r="C1087" s="26">
        <v>2.8</v>
      </c>
      <c r="D1087" s="26">
        <v>1.5</v>
      </c>
      <c r="E1087" s="26">
        <v>45</v>
      </c>
      <c r="F1087" s="26">
        <f t="shared" si="21"/>
        <v>3.3333333333333333E-2</v>
      </c>
      <c r="G1087" s="30"/>
    </row>
    <row r="1088" spans="1:7" x14ac:dyDescent="0.25">
      <c r="A1088" s="26">
        <v>15</v>
      </c>
      <c r="B1088" s="26">
        <v>7</v>
      </c>
      <c r="C1088" s="26">
        <v>2.8</v>
      </c>
      <c r="D1088" s="26">
        <v>2</v>
      </c>
      <c r="E1088" s="26">
        <v>59</v>
      </c>
      <c r="F1088" s="26">
        <f t="shared" si="21"/>
        <v>3.3898305084745763E-2</v>
      </c>
      <c r="G1088" s="30"/>
    </row>
    <row r="1089" spans="1:7" x14ac:dyDescent="0.25">
      <c r="A1089" s="26">
        <v>15</v>
      </c>
      <c r="B1089" s="26">
        <v>7</v>
      </c>
      <c r="C1089" s="26">
        <v>2.8</v>
      </c>
      <c r="D1089" s="26">
        <v>2.5</v>
      </c>
      <c r="E1089" s="26">
        <v>74</v>
      </c>
      <c r="F1089" s="26">
        <f t="shared" si="21"/>
        <v>3.3783783783783786E-2</v>
      </c>
      <c r="G1089" s="30"/>
    </row>
    <row r="1090" spans="1:7" x14ac:dyDescent="0.25">
      <c r="A1090" s="26">
        <v>15</v>
      </c>
      <c r="B1090" s="26">
        <v>7</v>
      </c>
      <c r="C1090" s="26">
        <v>2.8</v>
      </c>
      <c r="D1090" s="26">
        <v>3</v>
      </c>
      <c r="E1090" s="26">
        <v>89</v>
      </c>
      <c r="F1090" s="26">
        <f t="shared" si="21"/>
        <v>3.3707865168539325E-2</v>
      </c>
      <c r="G1090" s="30"/>
    </row>
    <row r="1091" spans="1:7" x14ac:dyDescent="0.25">
      <c r="A1091" s="26">
        <v>15</v>
      </c>
      <c r="B1091" s="26">
        <v>7</v>
      </c>
      <c r="C1091" s="26">
        <v>3</v>
      </c>
      <c r="D1091" s="26">
        <v>0.5</v>
      </c>
      <c r="E1091" s="26">
        <v>15</v>
      </c>
      <c r="F1091" s="26">
        <f t="shared" si="21"/>
        <v>3.3333333333333333E-2</v>
      </c>
      <c r="G1091" s="30"/>
    </row>
    <row r="1092" spans="1:7" x14ac:dyDescent="0.25">
      <c r="A1092" s="26">
        <v>15</v>
      </c>
      <c r="B1092" s="26">
        <v>7</v>
      </c>
      <c r="C1092" s="26">
        <v>3</v>
      </c>
      <c r="D1092" s="26">
        <v>1</v>
      </c>
      <c r="E1092" s="26">
        <v>30</v>
      </c>
      <c r="F1092" s="26">
        <f t="shared" si="21"/>
        <v>3.3333333333333333E-2</v>
      </c>
      <c r="G1092" s="30"/>
    </row>
    <row r="1093" spans="1:7" x14ac:dyDescent="0.25">
      <c r="A1093" s="26">
        <v>15</v>
      </c>
      <c r="B1093" s="26">
        <v>7</v>
      </c>
      <c r="C1093" s="26">
        <v>3</v>
      </c>
      <c r="D1093" s="26">
        <v>1.5</v>
      </c>
      <c r="E1093" s="26">
        <v>46</v>
      </c>
      <c r="F1093" s="26">
        <f t="shared" ref="F1093:F1156" si="22">D1093/E1093</f>
        <v>3.2608695652173912E-2</v>
      </c>
      <c r="G1093" s="30"/>
    </row>
    <row r="1094" spans="1:7" x14ac:dyDescent="0.25">
      <c r="A1094" s="26">
        <v>15</v>
      </c>
      <c r="B1094" s="26">
        <v>7</v>
      </c>
      <c r="C1094" s="26">
        <v>3</v>
      </c>
      <c r="D1094" s="26">
        <v>2</v>
      </c>
      <c r="E1094" s="26">
        <v>61</v>
      </c>
      <c r="F1094" s="26">
        <f t="shared" si="22"/>
        <v>3.2786885245901641E-2</v>
      </c>
      <c r="G1094" s="30"/>
    </row>
    <row r="1095" spans="1:7" x14ac:dyDescent="0.25">
      <c r="A1095" s="26">
        <v>15</v>
      </c>
      <c r="B1095" s="26">
        <v>7</v>
      </c>
      <c r="C1095" s="26">
        <v>3</v>
      </c>
      <c r="D1095" s="26">
        <v>2.5</v>
      </c>
      <c r="E1095" s="26">
        <v>76</v>
      </c>
      <c r="F1095" s="26">
        <f t="shared" si="22"/>
        <v>3.2894736842105261E-2</v>
      </c>
      <c r="G1095" s="30"/>
    </row>
    <row r="1096" spans="1:7" x14ac:dyDescent="0.25">
      <c r="A1096" s="26">
        <v>15</v>
      </c>
      <c r="B1096" s="26">
        <v>7</v>
      </c>
      <c r="C1096" s="26">
        <v>3</v>
      </c>
      <c r="D1096" s="26">
        <v>3</v>
      </c>
      <c r="E1096" s="26">
        <v>91</v>
      </c>
      <c r="F1096" s="26">
        <f t="shared" si="22"/>
        <v>3.2967032967032968E-2</v>
      </c>
      <c r="G1096" s="30"/>
    </row>
    <row r="1097" spans="1:7" x14ac:dyDescent="0.25">
      <c r="A1097" s="26">
        <v>15</v>
      </c>
      <c r="B1097" s="26">
        <v>7.5</v>
      </c>
      <c r="C1097" s="26">
        <v>0.4</v>
      </c>
      <c r="D1097" s="26">
        <v>0.5</v>
      </c>
      <c r="E1097" s="26">
        <v>14</v>
      </c>
      <c r="F1097" s="26">
        <f t="shared" si="22"/>
        <v>3.5714285714285712E-2</v>
      </c>
      <c r="G1097" s="30"/>
    </row>
    <row r="1098" spans="1:7" x14ac:dyDescent="0.25">
      <c r="A1098" s="26">
        <v>15</v>
      </c>
      <c r="B1098" s="26">
        <v>7.5</v>
      </c>
      <c r="C1098" s="26">
        <v>0.4</v>
      </c>
      <c r="D1098" s="26">
        <v>1</v>
      </c>
      <c r="E1098" s="26">
        <v>28</v>
      </c>
      <c r="F1098" s="26">
        <f t="shared" si="22"/>
        <v>3.5714285714285712E-2</v>
      </c>
      <c r="G1098" s="30"/>
    </row>
    <row r="1099" spans="1:7" x14ac:dyDescent="0.25">
      <c r="A1099" s="26">
        <v>15</v>
      </c>
      <c r="B1099" s="26">
        <v>7.5</v>
      </c>
      <c r="C1099" s="26">
        <v>0.4</v>
      </c>
      <c r="D1099" s="26">
        <v>1.5</v>
      </c>
      <c r="E1099" s="26">
        <v>42</v>
      </c>
      <c r="F1099" s="26">
        <f t="shared" si="22"/>
        <v>3.5714285714285712E-2</v>
      </c>
      <c r="G1099" s="30"/>
    </row>
    <row r="1100" spans="1:7" x14ac:dyDescent="0.25">
      <c r="A1100" s="26">
        <v>15</v>
      </c>
      <c r="B1100" s="26">
        <v>7.5</v>
      </c>
      <c r="C1100" s="26">
        <v>0.4</v>
      </c>
      <c r="D1100" s="26">
        <v>2</v>
      </c>
      <c r="E1100" s="26">
        <v>55</v>
      </c>
      <c r="F1100" s="26">
        <f t="shared" si="22"/>
        <v>3.6363636363636362E-2</v>
      </c>
      <c r="G1100" s="30"/>
    </row>
    <row r="1101" spans="1:7" x14ac:dyDescent="0.25">
      <c r="A1101" s="26">
        <v>15</v>
      </c>
      <c r="B1101" s="26">
        <v>7.5</v>
      </c>
      <c r="C1101" s="26">
        <v>0.4</v>
      </c>
      <c r="D1101" s="26">
        <v>2.5</v>
      </c>
      <c r="E1101" s="26">
        <v>69</v>
      </c>
      <c r="F1101" s="26">
        <f t="shared" si="22"/>
        <v>3.6231884057971016E-2</v>
      </c>
      <c r="G1101" s="30"/>
    </row>
    <row r="1102" spans="1:7" x14ac:dyDescent="0.25">
      <c r="A1102" s="26">
        <v>15</v>
      </c>
      <c r="B1102" s="26">
        <v>7.5</v>
      </c>
      <c r="C1102" s="26">
        <v>0.4</v>
      </c>
      <c r="D1102" s="26">
        <v>3</v>
      </c>
      <c r="E1102" s="26">
        <v>83</v>
      </c>
      <c r="F1102" s="26">
        <f t="shared" si="22"/>
        <v>3.614457831325301E-2</v>
      </c>
      <c r="G1102" s="30"/>
    </row>
    <row r="1103" spans="1:7" x14ac:dyDescent="0.25">
      <c r="A1103" s="26">
        <v>15</v>
      </c>
      <c r="B1103" s="26">
        <v>7.5</v>
      </c>
      <c r="C1103" s="26">
        <v>0.6</v>
      </c>
      <c r="D1103" s="26">
        <v>0.5</v>
      </c>
      <c r="E1103" s="26">
        <v>14</v>
      </c>
      <c r="F1103" s="26">
        <f t="shared" si="22"/>
        <v>3.5714285714285712E-2</v>
      </c>
      <c r="G1103" s="30"/>
    </row>
    <row r="1104" spans="1:7" x14ac:dyDescent="0.25">
      <c r="A1104" s="26">
        <v>15</v>
      </c>
      <c r="B1104" s="26">
        <v>7.5</v>
      </c>
      <c r="C1104" s="26">
        <v>0.6</v>
      </c>
      <c r="D1104" s="26">
        <v>1</v>
      </c>
      <c r="E1104" s="26">
        <v>29</v>
      </c>
      <c r="F1104" s="26">
        <f t="shared" si="22"/>
        <v>3.4482758620689655E-2</v>
      </c>
      <c r="G1104" s="30"/>
    </row>
    <row r="1105" spans="1:7" x14ac:dyDescent="0.25">
      <c r="A1105" s="26">
        <v>15</v>
      </c>
      <c r="B1105" s="26">
        <v>7.5</v>
      </c>
      <c r="C1105" s="26">
        <v>0.6</v>
      </c>
      <c r="D1105" s="26">
        <v>1.5</v>
      </c>
      <c r="E1105" s="26">
        <v>43</v>
      </c>
      <c r="F1105" s="26">
        <f t="shared" si="22"/>
        <v>3.4883720930232558E-2</v>
      </c>
      <c r="G1105" s="30"/>
    </row>
    <row r="1106" spans="1:7" x14ac:dyDescent="0.25">
      <c r="A1106" s="26">
        <v>15</v>
      </c>
      <c r="B1106" s="26">
        <v>7.5</v>
      </c>
      <c r="C1106" s="26">
        <v>0.6</v>
      </c>
      <c r="D1106" s="26">
        <v>2</v>
      </c>
      <c r="E1106" s="26">
        <v>57</v>
      </c>
      <c r="F1106" s="26">
        <f t="shared" si="22"/>
        <v>3.5087719298245612E-2</v>
      </c>
      <c r="G1106" s="30"/>
    </row>
    <row r="1107" spans="1:7" x14ac:dyDescent="0.25">
      <c r="A1107" s="26">
        <v>15</v>
      </c>
      <c r="B1107" s="26">
        <v>7.5</v>
      </c>
      <c r="C1107" s="26">
        <v>0.6</v>
      </c>
      <c r="D1107" s="26">
        <v>2.5</v>
      </c>
      <c r="E1107" s="26">
        <v>72</v>
      </c>
      <c r="F1107" s="26">
        <f t="shared" si="22"/>
        <v>3.4722222222222224E-2</v>
      </c>
      <c r="G1107" s="30"/>
    </row>
    <row r="1108" spans="1:7" x14ac:dyDescent="0.25">
      <c r="A1108" s="26">
        <v>15</v>
      </c>
      <c r="B1108" s="26">
        <v>7.5</v>
      </c>
      <c r="C1108" s="26">
        <v>0.6</v>
      </c>
      <c r="D1108" s="26">
        <v>3</v>
      </c>
      <c r="E1108" s="26">
        <v>86</v>
      </c>
      <c r="F1108" s="26">
        <f t="shared" si="22"/>
        <v>3.4883720930232558E-2</v>
      </c>
      <c r="G1108" s="30"/>
    </row>
    <row r="1109" spans="1:7" x14ac:dyDescent="0.25">
      <c r="A1109" s="26">
        <v>15</v>
      </c>
      <c r="B1109" s="26">
        <v>7.5</v>
      </c>
      <c r="C1109" s="26">
        <v>0.8</v>
      </c>
      <c r="D1109" s="26">
        <v>0.5</v>
      </c>
      <c r="E1109" s="26">
        <v>15</v>
      </c>
      <c r="F1109" s="26">
        <f t="shared" si="22"/>
        <v>3.3333333333333333E-2</v>
      </c>
      <c r="G1109" s="30"/>
    </row>
    <row r="1110" spans="1:7" x14ac:dyDescent="0.25">
      <c r="A1110" s="26">
        <v>15</v>
      </c>
      <c r="B1110" s="26">
        <v>7.5</v>
      </c>
      <c r="C1110" s="26">
        <v>0.8</v>
      </c>
      <c r="D1110" s="26">
        <v>1</v>
      </c>
      <c r="E1110" s="26">
        <v>29</v>
      </c>
      <c r="F1110" s="26">
        <f t="shared" si="22"/>
        <v>3.4482758620689655E-2</v>
      </c>
      <c r="G1110" s="30"/>
    </row>
    <row r="1111" spans="1:7" x14ac:dyDescent="0.25">
      <c r="A1111" s="26">
        <v>15</v>
      </c>
      <c r="B1111" s="26">
        <v>7.5</v>
      </c>
      <c r="C1111" s="26">
        <v>0.8</v>
      </c>
      <c r="D1111" s="26">
        <v>1.5</v>
      </c>
      <c r="E1111" s="26">
        <v>44</v>
      </c>
      <c r="F1111" s="26">
        <f t="shared" si="22"/>
        <v>3.4090909090909088E-2</v>
      </c>
      <c r="G1111" s="30"/>
    </row>
    <row r="1112" spans="1:7" x14ac:dyDescent="0.25">
      <c r="A1112" s="26">
        <v>15</v>
      </c>
      <c r="B1112" s="26">
        <v>7.5</v>
      </c>
      <c r="C1112" s="26">
        <v>0.8</v>
      </c>
      <c r="D1112" s="26">
        <v>2</v>
      </c>
      <c r="E1112" s="26">
        <v>59</v>
      </c>
      <c r="F1112" s="26">
        <f t="shared" si="22"/>
        <v>3.3898305084745763E-2</v>
      </c>
      <c r="G1112" s="30"/>
    </row>
    <row r="1113" spans="1:7" x14ac:dyDescent="0.25">
      <c r="A1113" s="26">
        <v>15</v>
      </c>
      <c r="B1113" s="26">
        <v>7.5</v>
      </c>
      <c r="C1113" s="26">
        <v>0.8</v>
      </c>
      <c r="D1113" s="26">
        <v>2.5</v>
      </c>
      <c r="E1113" s="26">
        <v>73</v>
      </c>
      <c r="F1113" s="26">
        <f t="shared" si="22"/>
        <v>3.4246575342465752E-2</v>
      </c>
      <c r="G1113" s="30"/>
    </row>
    <row r="1114" spans="1:7" x14ac:dyDescent="0.25">
      <c r="A1114" s="26">
        <v>15</v>
      </c>
      <c r="B1114" s="26">
        <v>7.5</v>
      </c>
      <c r="C1114" s="26">
        <v>0.8</v>
      </c>
      <c r="D1114" s="26">
        <v>3</v>
      </c>
      <c r="E1114" s="26">
        <v>88</v>
      </c>
      <c r="F1114" s="26">
        <f t="shared" si="22"/>
        <v>3.4090909090909088E-2</v>
      </c>
      <c r="G1114" s="30"/>
    </row>
    <row r="1115" spans="1:7" x14ac:dyDescent="0.25">
      <c r="A1115" s="26">
        <v>15</v>
      </c>
      <c r="B1115" s="26">
        <v>7.5</v>
      </c>
      <c r="C1115" s="26">
        <v>1</v>
      </c>
      <c r="D1115" s="26">
        <v>0.5</v>
      </c>
      <c r="E1115" s="26">
        <v>15</v>
      </c>
      <c r="F1115" s="26">
        <f t="shared" si="22"/>
        <v>3.3333333333333333E-2</v>
      </c>
      <c r="G1115" s="30"/>
    </row>
    <row r="1116" spans="1:7" x14ac:dyDescent="0.25">
      <c r="A1116" s="26">
        <v>15</v>
      </c>
      <c r="B1116" s="26">
        <v>7.5</v>
      </c>
      <c r="C1116" s="26">
        <v>1</v>
      </c>
      <c r="D1116" s="26">
        <v>1</v>
      </c>
      <c r="E1116" s="26">
        <v>30</v>
      </c>
      <c r="F1116" s="26">
        <f t="shared" si="22"/>
        <v>3.3333333333333333E-2</v>
      </c>
      <c r="G1116" s="30"/>
    </row>
    <row r="1117" spans="1:7" x14ac:dyDescent="0.25">
      <c r="A1117" s="26">
        <v>15</v>
      </c>
      <c r="B1117" s="26">
        <v>7.5</v>
      </c>
      <c r="C1117" s="26">
        <v>1</v>
      </c>
      <c r="D1117" s="26">
        <v>1.5</v>
      </c>
      <c r="E1117" s="26">
        <v>45</v>
      </c>
      <c r="F1117" s="26">
        <f t="shared" si="22"/>
        <v>3.3333333333333333E-2</v>
      </c>
      <c r="G1117" s="30"/>
    </row>
    <row r="1118" spans="1:7" x14ac:dyDescent="0.25">
      <c r="A1118" s="26">
        <v>15</v>
      </c>
      <c r="B1118" s="26">
        <v>7.5</v>
      </c>
      <c r="C1118" s="26">
        <v>1</v>
      </c>
      <c r="D1118" s="26">
        <v>2</v>
      </c>
      <c r="E1118" s="26">
        <v>60</v>
      </c>
      <c r="F1118" s="26">
        <f t="shared" si="22"/>
        <v>3.3333333333333333E-2</v>
      </c>
      <c r="G1118" s="30"/>
    </row>
    <row r="1119" spans="1:7" x14ac:dyDescent="0.25">
      <c r="A1119" s="26">
        <v>15</v>
      </c>
      <c r="B1119" s="26">
        <v>7.5</v>
      </c>
      <c r="C1119" s="26">
        <v>1</v>
      </c>
      <c r="D1119" s="26">
        <v>2.5</v>
      </c>
      <c r="E1119" s="26">
        <v>75</v>
      </c>
      <c r="F1119" s="26">
        <f t="shared" si="22"/>
        <v>3.3333333333333333E-2</v>
      </c>
      <c r="G1119" s="30"/>
    </row>
    <row r="1120" spans="1:7" x14ac:dyDescent="0.25">
      <c r="A1120" s="26">
        <v>15</v>
      </c>
      <c r="B1120" s="26">
        <v>7.5</v>
      </c>
      <c r="C1120" s="26">
        <v>1</v>
      </c>
      <c r="D1120" s="26">
        <v>3</v>
      </c>
      <c r="E1120" s="26">
        <v>90</v>
      </c>
      <c r="F1120" s="26">
        <f t="shared" si="22"/>
        <v>3.3333333333333333E-2</v>
      </c>
      <c r="G1120" s="30"/>
    </row>
    <row r="1121" spans="1:7" x14ac:dyDescent="0.25">
      <c r="A1121" s="26">
        <v>15</v>
      </c>
      <c r="B1121" s="26">
        <v>7.5</v>
      </c>
      <c r="C1121" s="26">
        <v>1.2</v>
      </c>
      <c r="D1121" s="26">
        <v>0.5</v>
      </c>
      <c r="E1121" s="26">
        <v>15</v>
      </c>
      <c r="F1121" s="26">
        <f t="shared" si="22"/>
        <v>3.3333333333333333E-2</v>
      </c>
      <c r="G1121" s="30"/>
    </row>
    <row r="1122" spans="1:7" x14ac:dyDescent="0.25">
      <c r="A1122" s="26">
        <v>15</v>
      </c>
      <c r="B1122" s="26">
        <v>7.5</v>
      </c>
      <c r="C1122" s="26">
        <v>1.2</v>
      </c>
      <c r="D1122" s="26">
        <v>1</v>
      </c>
      <c r="E1122" s="26">
        <v>31</v>
      </c>
      <c r="F1122" s="26">
        <f t="shared" si="22"/>
        <v>3.2258064516129031E-2</v>
      </c>
      <c r="G1122" s="30"/>
    </row>
    <row r="1123" spans="1:7" x14ac:dyDescent="0.25">
      <c r="A1123" s="26">
        <v>15</v>
      </c>
      <c r="B1123" s="26">
        <v>7.5</v>
      </c>
      <c r="C1123" s="26">
        <v>1.2</v>
      </c>
      <c r="D1123" s="26">
        <v>1.5</v>
      </c>
      <c r="E1123" s="26">
        <v>46</v>
      </c>
      <c r="F1123" s="26">
        <f t="shared" si="22"/>
        <v>3.2608695652173912E-2</v>
      </c>
      <c r="G1123" s="30"/>
    </row>
    <row r="1124" spans="1:7" x14ac:dyDescent="0.25">
      <c r="A1124" s="26">
        <v>15</v>
      </c>
      <c r="B1124" s="26">
        <v>7.5</v>
      </c>
      <c r="C1124" s="26">
        <v>1.2</v>
      </c>
      <c r="D1124" s="26">
        <v>2</v>
      </c>
      <c r="E1124" s="26">
        <v>61</v>
      </c>
      <c r="F1124" s="26">
        <f t="shared" si="22"/>
        <v>3.2786885245901641E-2</v>
      </c>
      <c r="G1124" s="30"/>
    </row>
    <row r="1125" spans="1:7" x14ac:dyDescent="0.25">
      <c r="A1125" s="26">
        <v>15</v>
      </c>
      <c r="B1125" s="26">
        <v>7.5</v>
      </c>
      <c r="C1125" s="26">
        <v>1.2</v>
      </c>
      <c r="D1125" s="26">
        <v>2.5</v>
      </c>
      <c r="E1125" s="26">
        <v>77</v>
      </c>
      <c r="F1125" s="26">
        <f t="shared" si="22"/>
        <v>3.2467532467532464E-2</v>
      </c>
      <c r="G1125" s="30"/>
    </row>
    <row r="1126" spans="1:7" x14ac:dyDescent="0.25">
      <c r="A1126" s="26">
        <v>15</v>
      </c>
      <c r="B1126" s="26">
        <v>7.5</v>
      </c>
      <c r="C1126" s="26">
        <v>1.2</v>
      </c>
      <c r="D1126" s="26">
        <v>3</v>
      </c>
      <c r="E1126" s="26">
        <v>92</v>
      </c>
      <c r="F1126" s="26">
        <f t="shared" si="22"/>
        <v>3.2608695652173912E-2</v>
      </c>
      <c r="G1126" s="30"/>
    </row>
    <row r="1127" spans="1:7" x14ac:dyDescent="0.25">
      <c r="A1127" s="26">
        <v>15</v>
      </c>
      <c r="B1127" s="26">
        <v>7.5</v>
      </c>
      <c r="C1127" s="26">
        <v>1.4</v>
      </c>
      <c r="D1127" s="26">
        <v>0.5</v>
      </c>
      <c r="E1127" s="26">
        <v>16</v>
      </c>
      <c r="F1127" s="26">
        <f t="shared" si="22"/>
        <v>3.125E-2</v>
      </c>
      <c r="G1127" s="30"/>
    </row>
    <row r="1128" spans="1:7" x14ac:dyDescent="0.25">
      <c r="A1128" s="26">
        <v>15</v>
      </c>
      <c r="B1128" s="26">
        <v>7.5</v>
      </c>
      <c r="C1128" s="26">
        <v>1.4</v>
      </c>
      <c r="D1128" s="26">
        <v>1</v>
      </c>
      <c r="E1128" s="26">
        <v>31</v>
      </c>
      <c r="F1128" s="26">
        <f t="shared" si="22"/>
        <v>3.2258064516129031E-2</v>
      </c>
      <c r="G1128" s="30"/>
    </row>
    <row r="1129" spans="1:7" x14ac:dyDescent="0.25">
      <c r="A1129" s="26">
        <v>15</v>
      </c>
      <c r="B1129" s="26">
        <v>7.5</v>
      </c>
      <c r="C1129" s="26">
        <v>1.4</v>
      </c>
      <c r="D1129" s="26">
        <v>1.5</v>
      </c>
      <c r="E1129" s="26">
        <v>47</v>
      </c>
      <c r="F1129" s="26">
        <f t="shared" si="22"/>
        <v>3.1914893617021274E-2</v>
      </c>
      <c r="G1129" s="30"/>
    </row>
    <row r="1130" spans="1:7" x14ac:dyDescent="0.25">
      <c r="A1130" s="26">
        <v>15</v>
      </c>
      <c r="B1130" s="26">
        <v>7.5</v>
      </c>
      <c r="C1130" s="26">
        <v>1.4</v>
      </c>
      <c r="D1130" s="26">
        <v>2</v>
      </c>
      <c r="E1130" s="26">
        <v>63</v>
      </c>
      <c r="F1130" s="26">
        <f t="shared" si="22"/>
        <v>3.1746031746031744E-2</v>
      </c>
      <c r="G1130" s="30"/>
    </row>
    <row r="1131" spans="1:7" x14ac:dyDescent="0.25">
      <c r="A1131" s="26">
        <v>15</v>
      </c>
      <c r="B1131" s="26">
        <v>7.5</v>
      </c>
      <c r="C1131" s="26">
        <v>1.4</v>
      </c>
      <c r="D1131" s="26">
        <v>2.5</v>
      </c>
      <c r="E1131" s="26">
        <v>78</v>
      </c>
      <c r="F1131" s="26">
        <f t="shared" si="22"/>
        <v>3.2051282051282048E-2</v>
      </c>
      <c r="G1131" s="30"/>
    </row>
    <row r="1132" spans="1:7" x14ac:dyDescent="0.25">
      <c r="A1132" s="26">
        <v>15</v>
      </c>
      <c r="B1132" s="26">
        <v>7.5</v>
      </c>
      <c r="C1132" s="26">
        <v>1.4</v>
      </c>
      <c r="D1132" s="26">
        <v>3</v>
      </c>
      <c r="E1132" s="26">
        <v>94</v>
      </c>
      <c r="F1132" s="26">
        <f t="shared" si="22"/>
        <v>3.1914893617021274E-2</v>
      </c>
      <c r="G1132" s="30"/>
    </row>
    <row r="1133" spans="1:7" x14ac:dyDescent="0.25">
      <c r="A1133" s="26">
        <v>15</v>
      </c>
      <c r="B1133" s="26">
        <v>7.5</v>
      </c>
      <c r="C1133" s="26">
        <v>1.6</v>
      </c>
      <c r="D1133" s="26">
        <v>0.5</v>
      </c>
      <c r="E1133" s="26">
        <v>16</v>
      </c>
      <c r="F1133" s="26">
        <f t="shared" si="22"/>
        <v>3.125E-2</v>
      </c>
      <c r="G1133" s="30"/>
    </row>
    <row r="1134" spans="1:7" x14ac:dyDescent="0.25">
      <c r="A1134" s="26">
        <v>15</v>
      </c>
      <c r="B1134" s="26">
        <v>7.5</v>
      </c>
      <c r="C1134" s="26">
        <v>1.6</v>
      </c>
      <c r="D1134" s="26">
        <v>1</v>
      </c>
      <c r="E1134" s="26">
        <v>32</v>
      </c>
      <c r="F1134" s="26">
        <f t="shared" si="22"/>
        <v>3.125E-2</v>
      </c>
      <c r="G1134" s="30"/>
    </row>
    <row r="1135" spans="1:7" x14ac:dyDescent="0.25">
      <c r="A1135" s="26">
        <v>15</v>
      </c>
      <c r="B1135" s="26">
        <v>7.5</v>
      </c>
      <c r="C1135" s="26">
        <v>1.6</v>
      </c>
      <c r="D1135" s="26">
        <v>1.5</v>
      </c>
      <c r="E1135" s="26">
        <v>48</v>
      </c>
      <c r="F1135" s="26">
        <f t="shared" si="22"/>
        <v>3.125E-2</v>
      </c>
      <c r="G1135" s="30"/>
    </row>
    <row r="1136" spans="1:7" x14ac:dyDescent="0.25">
      <c r="A1136" s="26">
        <v>15</v>
      </c>
      <c r="B1136" s="26">
        <v>7.5</v>
      </c>
      <c r="C1136" s="26">
        <v>1.6</v>
      </c>
      <c r="D1136" s="26">
        <v>2</v>
      </c>
      <c r="E1136" s="26">
        <v>64</v>
      </c>
      <c r="F1136" s="26">
        <f t="shared" si="22"/>
        <v>3.125E-2</v>
      </c>
      <c r="G1136" s="30"/>
    </row>
    <row r="1137" spans="1:7" x14ac:dyDescent="0.25">
      <c r="A1137" s="26">
        <v>15</v>
      </c>
      <c r="B1137" s="26">
        <v>7.5</v>
      </c>
      <c r="C1137" s="26">
        <v>1.6</v>
      </c>
      <c r="D1137" s="26">
        <v>2.5</v>
      </c>
      <c r="E1137" s="26">
        <v>80</v>
      </c>
      <c r="F1137" s="26">
        <f t="shared" si="22"/>
        <v>3.125E-2</v>
      </c>
      <c r="G1137" s="30"/>
    </row>
    <row r="1138" spans="1:7" x14ac:dyDescent="0.25">
      <c r="A1138" s="26">
        <v>15</v>
      </c>
      <c r="B1138" s="26">
        <v>7.5</v>
      </c>
      <c r="C1138" s="26">
        <v>1.6</v>
      </c>
      <c r="D1138" s="26">
        <v>3</v>
      </c>
      <c r="E1138" s="26">
        <v>96</v>
      </c>
      <c r="F1138" s="26">
        <f t="shared" si="22"/>
        <v>3.125E-2</v>
      </c>
      <c r="G1138" s="30"/>
    </row>
    <row r="1139" spans="1:7" x14ac:dyDescent="0.25">
      <c r="A1139" s="26">
        <v>15</v>
      </c>
      <c r="B1139" s="26">
        <v>7.5</v>
      </c>
      <c r="C1139" s="26">
        <v>1.8</v>
      </c>
      <c r="D1139" s="26">
        <v>0.5</v>
      </c>
      <c r="E1139" s="26">
        <v>16</v>
      </c>
      <c r="F1139" s="26">
        <f t="shared" si="22"/>
        <v>3.125E-2</v>
      </c>
      <c r="G1139" s="30"/>
    </row>
    <row r="1140" spans="1:7" x14ac:dyDescent="0.25">
      <c r="A1140" s="26">
        <v>15</v>
      </c>
      <c r="B1140" s="26">
        <v>7.5</v>
      </c>
      <c r="C1140" s="26">
        <v>1.8</v>
      </c>
      <c r="D1140" s="26">
        <v>1</v>
      </c>
      <c r="E1140" s="26">
        <v>33</v>
      </c>
      <c r="F1140" s="26">
        <f t="shared" si="22"/>
        <v>3.0303030303030304E-2</v>
      </c>
      <c r="G1140" s="30"/>
    </row>
    <row r="1141" spans="1:7" x14ac:dyDescent="0.25">
      <c r="A1141" s="26">
        <v>15</v>
      </c>
      <c r="B1141" s="26">
        <v>7.5</v>
      </c>
      <c r="C1141" s="26">
        <v>1.8</v>
      </c>
      <c r="D1141" s="26">
        <v>1.5</v>
      </c>
      <c r="E1141" s="26">
        <v>49</v>
      </c>
      <c r="F1141" s="26">
        <f t="shared" si="22"/>
        <v>3.0612244897959183E-2</v>
      </c>
      <c r="G1141" s="30"/>
    </row>
    <row r="1142" spans="1:7" x14ac:dyDescent="0.25">
      <c r="A1142" s="26">
        <v>15</v>
      </c>
      <c r="B1142" s="26">
        <v>7.5</v>
      </c>
      <c r="C1142" s="26">
        <v>1.8</v>
      </c>
      <c r="D1142" s="26">
        <v>2</v>
      </c>
      <c r="E1142" s="26">
        <v>65</v>
      </c>
      <c r="F1142" s="26">
        <f t="shared" si="22"/>
        <v>3.0769230769230771E-2</v>
      </c>
      <c r="G1142" s="30"/>
    </row>
    <row r="1143" spans="1:7" x14ac:dyDescent="0.25">
      <c r="A1143" s="26">
        <v>15</v>
      </c>
      <c r="B1143" s="26">
        <v>7.5</v>
      </c>
      <c r="C1143" s="26">
        <v>1.8</v>
      </c>
      <c r="D1143" s="26">
        <v>2.5</v>
      </c>
      <c r="E1143" s="26">
        <v>82</v>
      </c>
      <c r="F1143" s="26">
        <f t="shared" si="22"/>
        <v>3.048780487804878E-2</v>
      </c>
      <c r="G1143" s="30"/>
    </row>
    <row r="1144" spans="1:7" x14ac:dyDescent="0.25">
      <c r="A1144" s="26">
        <v>15</v>
      </c>
      <c r="B1144" s="26">
        <v>7.5</v>
      </c>
      <c r="C1144" s="26">
        <v>1.8</v>
      </c>
      <c r="D1144" s="26">
        <v>3</v>
      </c>
      <c r="E1144" s="26">
        <v>98</v>
      </c>
      <c r="F1144" s="26">
        <f t="shared" si="22"/>
        <v>3.0612244897959183E-2</v>
      </c>
      <c r="G1144" s="30"/>
    </row>
    <row r="1145" spans="1:7" x14ac:dyDescent="0.25">
      <c r="A1145" s="26">
        <v>15</v>
      </c>
      <c r="B1145" s="26">
        <v>7.5</v>
      </c>
      <c r="C1145" s="26">
        <v>2</v>
      </c>
      <c r="D1145" s="26">
        <v>0.5</v>
      </c>
      <c r="E1145" s="26">
        <v>17</v>
      </c>
      <c r="F1145" s="26">
        <f t="shared" si="22"/>
        <v>2.9411764705882353E-2</v>
      </c>
      <c r="G1145" s="30"/>
    </row>
    <row r="1146" spans="1:7" x14ac:dyDescent="0.25">
      <c r="A1146" s="26">
        <v>15</v>
      </c>
      <c r="B1146" s="26">
        <v>7.5</v>
      </c>
      <c r="C1146" s="26">
        <v>2</v>
      </c>
      <c r="D1146" s="26">
        <v>1</v>
      </c>
      <c r="E1146" s="26">
        <v>33</v>
      </c>
      <c r="F1146" s="26">
        <f t="shared" si="22"/>
        <v>3.0303030303030304E-2</v>
      </c>
      <c r="G1146" s="30"/>
    </row>
    <row r="1147" spans="1:7" x14ac:dyDescent="0.25">
      <c r="A1147" s="26">
        <v>15</v>
      </c>
      <c r="B1147" s="26">
        <v>7.5</v>
      </c>
      <c r="C1147" s="26">
        <v>2</v>
      </c>
      <c r="D1147" s="26">
        <v>1.5</v>
      </c>
      <c r="E1147" s="26">
        <v>50</v>
      </c>
      <c r="F1147" s="26">
        <f t="shared" si="22"/>
        <v>0.03</v>
      </c>
      <c r="G1147" s="30"/>
    </row>
    <row r="1148" spans="1:7" x14ac:dyDescent="0.25">
      <c r="A1148" s="26">
        <v>15</v>
      </c>
      <c r="B1148" s="26">
        <v>7.5</v>
      </c>
      <c r="C1148" s="26">
        <v>2</v>
      </c>
      <c r="D1148" s="26">
        <v>2</v>
      </c>
      <c r="E1148" s="26">
        <v>67</v>
      </c>
      <c r="F1148" s="26">
        <f t="shared" si="22"/>
        <v>2.9850746268656716E-2</v>
      </c>
      <c r="G1148" s="30"/>
    </row>
    <row r="1149" spans="1:7" x14ac:dyDescent="0.25">
      <c r="A1149" s="26">
        <v>15</v>
      </c>
      <c r="B1149" s="26">
        <v>7.5</v>
      </c>
      <c r="C1149" s="26">
        <v>2</v>
      </c>
      <c r="D1149" s="26">
        <v>2.5</v>
      </c>
      <c r="E1149" s="26">
        <v>83</v>
      </c>
      <c r="F1149" s="26">
        <f t="shared" si="22"/>
        <v>3.0120481927710843E-2</v>
      </c>
      <c r="G1149" s="30"/>
    </row>
    <row r="1150" spans="1:7" x14ac:dyDescent="0.25">
      <c r="A1150" s="26">
        <v>15</v>
      </c>
      <c r="B1150" s="26">
        <v>7.5</v>
      </c>
      <c r="C1150" s="26">
        <v>2</v>
      </c>
      <c r="D1150" s="26">
        <v>3</v>
      </c>
      <c r="E1150" s="26">
        <v>100</v>
      </c>
      <c r="F1150" s="26">
        <f t="shared" si="22"/>
        <v>0.03</v>
      </c>
      <c r="G1150" s="30"/>
    </row>
    <row r="1151" spans="1:7" x14ac:dyDescent="0.25">
      <c r="A1151" s="26">
        <v>15</v>
      </c>
      <c r="B1151" s="26">
        <v>7.5</v>
      </c>
      <c r="C1151" s="26">
        <v>2.2000000000000002</v>
      </c>
      <c r="D1151" s="26">
        <v>0.5</v>
      </c>
      <c r="E1151" s="26">
        <v>17</v>
      </c>
      <c r="F1151" s="26">
        <f t="shared" si="22"/>
        <v>2.9411764705882353E-2</v>
      </c>
      <c r="G1151" s="30"/>
    </row>
    <row r="1152" spans="1:7" x14ac:dyDescent="0.25">
      <c r="A1152" s="26">
        <v>15</v>
      </c>
      <c r="B1152" s="26">
        <v>7.5</v>
      </c>
      <c r="C1152" s="26">
        <v>2.2000000000000002</v>
      </c>
      <c r="D1152" s="26">
        <v>1</v>
      </c>
      <c r="E1152" s="26">
        <v>34</v>
      </c>
      <c r="F1152" s="26">
        <f t="shared" si="22"/>
        <v>2.9411764705882353E-2</v>
      </c>
      <c r="G1152" s="30"/>
    </row>
    <row r="1153" spans="1:7" x14ac:dyDescent="0.25">
      <c r="A1153" s="26">
        <v>15</v>
      </c>
      <c r="B1153" s="26">
        <v>7.5</v>
      </c>
      <c r="C1153" s="26">
        <v>2.2000000000000002</v>
      </c>
      <c r="D1153" s="26">
        <v>1.5</v>
      </c>
      <c r="E1153" s="26">
        <v>51</v>
      </c>
      <c r="F1153" s="26">
        <f t="shared" si="22"/>
        <v>2.9411764705882353E-2</v>
      </c>
      <c r="G1153" s="30"/>
    </row>
    <row r="1154" spans="1:7" x14ac:dyDescent="0.25">
      <c r="A1154" s="26">
        <v>15</v>
      </c>
      <c r="B1154" s="26">
        <v>7.5</v>
      </c>
      <c r="C1154" s="26">
        <v>2.2000000000000002</v>
      </c>
      <c r="D1154" s="26">
        <v>2</v>
      </c>
      <c r="E1154" s="26">
        <v>68</v>
      </c>
      <c r="F1154" s="26">
        <f t="shared" si="22"/>
        <v>2.9411764705882353E-2</v>
      </c>
      <c r="G1154" s="30"/>
    </row>
    <row r="1155" spans="1:7" x14ac:dyDescent="0.25">
      <c r="A1155" s="26">
        <v>15</v>
      </c>
      <c r="B1155" s="26">
        <v>7.5</v>
      </c>
      <c r="C1155" s="26">
        <v>2.2000000000000002</v>
      </c>
      <c r="D1155" s="26">
        <v>2.5</v>
      </c>
      <c r="E1155" s="26">
        <v>85</v>
      </c>
      <c r="F1155" s="26">
        <f t="shared" si="22"/>
        <v>2.9411764705882353E-2</v>
      </c>
      <c r="G1155" s="30"/>
    </row>
    <row r="1156" spans="1:7" x14ac:dyDescent="0.25">
      <c r="A1156" s="26">
        <v>15</v>
      </c>
      <c r="B1156" s="26">
        <v>7.5</v>
      </c>
      <c r="C1156" s="26">
        <v>2.2000000000000002</v>
      </c>
      <c r="D1156" s="26">
        <v>3</v>
      </c>
      <c r="E1156" s="26">
        <v>102</v>
      </c>
      <c r="F1156" s="26">
        <f t="shared" si="22"/>
        <v>2.9411764705882353E-2</v>
      </c>
      <c r="G1156" s="30"/>
    </row>
    <row r="1157" spans="1:7" x14ac:dyDescent="0.25">
      <c r="A1157" s="26">
        <v>15</v>
      </c>
      <c r="B1157" s="26">
        <v>7.5</v>
      </c>
      <c r="C1157" s="26">
        <v>2.4</v>
      </c>
      <c r="D1157" s="26">
        <v>0.5</v>
      </c>
      <c r="E1157" s="26">
        <v>18</v>
      </c>
      <c r="F1157" s="26">
        <f t="shared" ref="F1157:F1220" si="23">D1157/E1157</f>
        <v>2.7777777777777776E-2</v>
      </c>
      <c r="G1157" s="30"/>
    </row>
    <row r="1158" spans="1:7" x14ac:dyDescent="0.25">
      <c r="A1158" s="26">
        <v>15</v>
      </c>
      <c r="B1158" s="26">
        <v>7.5</v>
      </c>
      <c r="C1158" s="26">
        <v>2.4</v>
      </c>
      <c r="D1158" s="26">
        <v>1</v>
      </c>
      <c r="E1158" s="26">
        <v>35</v>
      </c>
      <c r="F1158" s="26">
        <f t="shared" si="23"/>
        <v>2.8571428571428571E-2</v>
      </c>
      <c r="G1158" s="30"/>
    </row>
    <row r="1159" spans="1:7" x14ac:dyDescent="0.25">
      <c r="A1159" s="26">
        <v>15</v>
      </c>
      <c r="B1159" s="26">
        <v>7.5</v>
      </c>
      <c r="C1159" s="26">
        <v>2.4</v>
      </c>
      <c r="D1159" s="26">
        <v>1.5</v>
      </c>
      <c r="E1159" s="26">
        <v>53</v>
      </c>
      <c r="F1159" s="26">
        <f t="shared" si="23"/>
        <v>2.8301886792452831E-2</v>
      </c>
      <c r="G1159" s="30"/>
    </row>
    <row r="1160" spans="1:7" x14ac:dyDescent="0.25">
      <c r="A1160" s="26">
        <v>15</v>
      </c>
      <c r="B1160" s="26">
        <v>7.5</v>
      </c>
      <c r="C1160" s="26">
        <v>2.4</v>
      </c>
      <c r="D1160" s="26">
        <v>2</v>
      </c>
      <c r="E1160" s="26">
        <v>70</v>
      </c>
      <c r="F1160" s="26">
        <f t="shared" si="23"/>
        <v>2.8571428571428571E-2</v>
      </c>
      <c r="G1160" s="30"/>
    </row>
    <row r="1161" spans="1:7" x14ac:dyDescent="0.25">
      <c r="A1161" s="26">
        <v>15</v>
      </c>
      <c r="B1161" s="26">
        <v>7.5</v>
      </c>
      <c r="C1161" s="26">
        <v>2.4</v>
      </c>
      <c r="D1161" s="26">
        <v>2.5</v>
      </c>
      <c r="E1161" s="26">
        <v>88</v>
      </c>
      <c r="F1161" s="26">
        <f t="shared" si="23"/>
        <v>2.8409090909090908E-2</v>
      </c>
      <c r="G1161" s="30"/>
    </row>
    <row r="1162" spans="1:7" x14ac:dyDescent="0.25">
      <c r="A1162" s="26">
        <v>15</v>
      </c>
      <c r="B1162" s="26">
        <v>7.5</v>
      </c>
      <c r="C1162" s="26">
        <v>2.4</v>
      </c>
      <c r="D1162" s="26">
        <v>3</v>
      </c>
      <c r="E1162" s="26">
        <v>105</v>
      </c>
      <c r="F1162" s="26">
        <f t="shared" si="23"/>
        <v>2.8571428571428571E-2</v>
      </c>
      <c r="G1162" s="30"/>
    </row>
    <row r="1163" spans="1:7" x14ac:dyDescent="0.25">
      <c r="A1163" s="26">
        <v>15</v>
      </c>
      <c r="B1163" s="26">
        <v>7.5</v>
      </c>
      <c r="C1163" s="26">
        <v>2.6</v>
      </c>
      <c r="D1163" s="26">
        <v>0.5</v>
      </c>
      <c r="E1163" s="26">
        <v>18</v>
      </c>
      <c r="F1163" s="26">
        <f t="shared" si="23"/>
        <v>2.7777777777777776E-2</v>
      </c>
      <c r="G1163" s="30"/>
    </row>
    <row r="1164" spans="1:7" x14ac:dyDescent="0.25">
      <c r="A1164" s="26">
        <v>15</v>
      </c>
      <c r="B1164" s="26">
        <v>7.5</v>
      </c>
      <c r="C1164" s="26">
        <v>2.6</v>
      </c>
      <c r="D1164" s="26">
        <v>1</v>
      </c>
      <c r="E1164" s="26">
        <v>36</v>
      </c>
      <c r="F1164" s="26">
        <f t="shared" si="23"/>
        <v>2.7777777777777776E-2</v>
      </c>
      <c r="G1164" s="30"/>
    </row>
    <row r="1165" spans="1:7" x14ac:dyDescent="0.25">
      <c r="A1165" s="26">
        <v>15</v>
      </c>
      <c r="B1165" s="26">
        <v>7.5</v>
      </c>
      <c r="C1165" s="26">
        <v>2.6</v>
      </c>
      <c r="D1165" s="26">
        <v>1.5</v>
      </c>
      <c r="E1165" s="26">
        <v>54</v>
      </c>
      <c r="F1165" s="26">
        <f t="shared" si="23"/>
        <v>2.7777777777777776E-2</v>
      </c>
      <c r="G1165" s="30"/>
    </row>
    <row r="1166" spans="1:7" x14ac:dyDescent="0.25">
      <c r="A1166" s="26">
        <v>15</v>
      </c>
      <c r="B1166" s="26">
        <v>7.5</v>
      </c>
      <c r="C1166" s="26">
        <v>2.6</v>
      </c>
      <c r="D1166" s="26">
        <v>2</v>
      </c>
      <c r="E1166" s="26">
        <v>71</v>
      </c>
      <c r="F1166" s="26">
        <f t="shared" si="23"/>
        <v>2.8169014084507043E-2</v>
      </c>
      <c r="G1166" s="30"/>
    </row>
    <row r="1167" spans="1:7" x14ac:dyDescent="0.25">
      <c r="A1167" s="26">
        <v>15</v>
      </c>
      <c r="B1167" s="26">
        <v>7.5</v>
      </c>
      <c r="C1167" s="26">
        <v>2.6</v>
      </c>
      <c r="D1167" s="26">
        <v>2.5</v>
      </c>
      <c r="E1167" s="26">
        <v>89</v>
      </c>
      <c r="F1167" s="26">
        <f t="shared" si="23"/>
        <v>2.8089887640449437E-2</v>
      </c>
      <c r="G1167" s="30"/>
    </row>
    <row r="1168" spans="1:7" x14ac:dyDescent="0.25">
      <c r="A1168" s="26">
        <v>15</v>
      </c>
      <c r="B1168" s="26">
        <v>7.5</v>
      </c>
      <c r="C1168" s="26">
        <v>2.6</v>
      </c>
      <c r="D1168" s="26">
        <v>3</v>
      </c>
      <c r="E1168" s="26">
        <v>107</v>
      </c>
      <c r="F1168" s="26">
        <f t="shared" si="23"/>
        <v>2.8037383177570093E-2</v>
      </c>
      <c r="G1168" s="30"/>
    </row>
    <row r="1169" spans="1:7" x14ac:dyDescent="0.25">
      <c r="A1169" s="26">
        <v>15</v>
      </c>
      <c r="B1169" s="26">
        <v>7.5</v>
      </c>
      <c r="C1169" s="26">
        <v>2.8</v>
      </c>
      <c r="D1169" s="26">
        <v>0.5</v>
      </c>
      <c r="E1169" s="26">
        <v>18</v>
      </c>
      <c r="F1169" s="26">
        <f t="shared" si="23"/>
        <v>2.7777777777777776E-2</v>
      </c>
      <c r="G1169" s="30"/>
    </row>
    <row r="1170" spans="1:7" x14ac:dyDescent="0.25">
      <c r="A1170" s="26">
        <v>15</v>
      </c>
      <c r="B1170" s="26">
        <v>7.5</v>
      </c>
      <c r="C1170" s="26">
        <v>2.8</v>
      </c>
      <c r="D1170" s="26">
        <v>1</v>
      </c>
      <c r="E1170" s="26">
        <v>36</v>
      </c>
      <c r="F1170" s="26">
        <f t="shared" si="23"/>
        <v>2.7777777777777776E-2</v>
      </c>
      <c r="G1170" s="30"/>
    </row>
    <row r="1171" spans="1:7" x14ac:dyDescent="0.25">
      <c r="A1171" s="26">
        <v>15</v>
      </c>
      <c r="B1171" s="26">
        <v>7.5</v>
      </c>
      <c r="C1171" s="26">
        <v>2.8</v>
      </c>
      <c r="D1171" s="26">
        <v>1.5</v>
      </c>
      <c r="E1171" s="26">
        <v>55</v>
      </c>
      <c r="F1171" s="26">
        <f t="shared" si="23"/>
        <v>2.7272727272727271E-2</v>
      </c>
    </row>
    <row r="1172" spans="1:7" x14ac:dyDescent="0.25">
      <c r="A1172" s="26">
        <v>15</v>
      </c>
      <c r="B1172" s="26">
        <v>7.5</v>
      </c>
      <c r="C1172" s="26">
        <v>2.8</v>
      </c>
      <c r="D1172" s="26">
        <v>2</v>
      </c>
      <c r="E1172" s="26">
        <v>73</v>
      </c>
      <c r="F1172" s="26">
        <f t="shared" si="23"/>
        <v>2.7397260273972601E-2</v>
      </c>
    </row>
    <row r="1173" spans="1:7" x14ac:dyDescent="0.25">
      <c r="A1173" s="26">
        <v>15</v>
      </c>
      <c r="B1173" s="26">
        <v>7.5</v>
      </c>
      <c r="C1173" s="26">
        <v>2.8</v>
      </c>
      <c r="D1173" s="26">
        <v>2.5</v>
      </c>
      <c r="E1173" s="26">
        <v>91</v>
      </c>
      <c r="F1173" s="26">
        <f t="shared" si="23"/>
        <v>2.7472527472527472E-2</v>
      </c>
    </row>
    <row r="1174" spans="1:7" x14ac:dyDescent="0.25">
      <c r="A1174" s="26">
        <v>15</v>
      </c>
      <c r="B1174" s="26">
        <v>7.5</v>
      </c>
      <c r="C1174" s="26">
        <v>2.8</v>
      </c>
      <c r="D1174" s="26">
        <v>3</v>
      </c>
      <c r="E1174" s="26">
        <v>109</v>
      </c>
      <c r="F1174" s="26">
        <f t="shared" si="23"/>
        <v>2.7522935779816515E-2</v>
      </c>
    </row>
    <row r="1175" spans="1:7" x14ac:dyDescent="0.25">
      <c r="A1175" s="26">
        <v>15</v>
      </c>
      <c r="B1175" s="26">
        <v>7.5</v>
      </c>
      <c r="C1175" s="26">
        <v>3</v>
      </c>
      <c r="D1175" s="26">
        <v>0.5</v>
      </c>
      <c r="E1175" s="26">
        <v>19</v>
      </c>
      <c r="F1175" s="26">
        <f t="shared" si="23"/>
        <v>2.6315789473684209E-2</v>
      </c>
    </row>
    <row r="1176" spans="1:7" x14ac:dyDescent="0.25">
      <c r="A1176" s="26">
        <v>15</v>
      </c>
      <c r="B1176" s="26">
        <v>7.5</v>
      </c>
      <c r="C1176" s="26">
        <v>3</v>
      </c>
      <c r="D1176" s="26">
        <v>1</v>
      </c>
      <c r="E1176" s="26">
        <v>37</v>
      </c>
      <c r="F1176" s="26">
        <f t="shared" si="23"/>
        <v>2.7027027027027029E-2</v>
      </c>
    </row>
    <row r="1177" spans="1:7" x14ac:dyDescent="0.25">
      <c r="A1177" s="26">
        <v>15</v>
      </c>
      <c r="B1177" s="26">
        <v>7.5</v>
      </c>
      <c r="C1177" s="26">
        <v>3</v>
      </c>
      <c r="D1177" s="26">
        <v>1.5</v>
      </c>
      <c r="E1177" s="26">
        <v>56</v>
      </c>
      <c r="F1177" s="26">
        <f t="shared" si="23"/>
        <v>2.6785714285714284E-2</v>
      </c>
    </row>
    <row r="1178" spans="1:7" x14ac:dyDescent="0.25">
      <c r="A1178" s="26">
        <v>15</v>
      </c>
      <c r="B1178" s="26">
        <v>7.5</v>
      </c>
      <c r="C1178" s="26">
        <v>3</v>
      </c>
      <c r="D1178" s="26">
        <v>2</v>
      </c>
      <c r="E1178" s="26">
        <v>74</v>
      </c>
      <c r="F1178" s="26">
        <f t="shared" si="23"/>
        <v>2.7027027027027029E-2</v>
      </c>
    </row>
    <row r="1179" spans="1:7" x14ac:dyDescent="0.25">
      <c r="A1179" s="26">
        <v>15</v>
      </c>
      <c r="B1179" s="26">
        <v>7.5</v>
      </c>
      <c r="C1179" s="26">
        <v>3</v>
      </c>
      <c r="D1179" s="26">
        <v>2.5</v>
      </c>
      <c r="E1179" s="26">
        <v>93</v>
      </c>
      <c r="F1179" s="26">
        <f t="shared" si="23"/>
        <v>2.6881720430107527E-2</v>
      </c>
    </row>
    <row r="1180" spans="1:7" x14ac:dyDescent="0.25">
      <c r="A1180" s="73">
        <v>15</v>
      </c>
      <c r="B1180" s="73">
        <v>7.5</v>
      </c>
      <c r="C1180" s="73">
        <v>3</v>
      </c>
      <c r="D1180" s="73">
        <v>3</v>
      </c>
      <c r="E1180" s="73">
        <v>111</v>
      </c>
      <c r="F1180" s="73">
        <f t="shared" si="23"/>
        <v>2.7027027027027029E-2</v>
      </c>
    </row>
    <row r="1181" spans="1:7" x14ac:dyDescent="0.25">
      <c r="A1181" s="26">
        <v>15</v>
      </c>
      <c r="B1181" s="26">
        <v>8</v>
      </c>
      <c r="C1181" s="26">
        <v>0.4</v>
      </c>
      <c r="D1181" s="26">
        <v>0.5</v>
      </c>
      <c r="E1181" s="26">
        <v>17</v>
      </c>
      <c r="F1181" s="26">
        <f t="shared" si="23"/>
        <v>2.9411764705882353E-2</v>
      </c>
    </row>
    <row r="1182" spans="1:7" x14ac:dyDescent="0.25">
      <c r="A1182" s="26">
        <v>15</v>
      </c>
      <c r="B1182" s="26">
        <v>8</v>
      </c>
      <c r="C1182" s="26">
        <v>0.4</v>
      </c>
      <c r="D1182" s="26">
        <v>1</v>
      </c>
      <c r="E1182" s="26">
        <v>33</v>
      </c>
      <c r="F1182" s="26">
        <f t="shared" si="23"/>
        <v>3.0303030303030304E-2</v>
      </c>
    </row>
    <row r="1183" spans="1:7" x14ac:dyDescent="0.25">
      <c r="A1183" s="26">
        <v>15</v>
      </c>
      <c r="B1183" s="26">
        <v>8</v>
      </c>
      <c r="C1183" s="26">
        <v>0.4</v>
      </c>
      <c r="D1183" s="26">
        <v>1.5</v>
      </c>
      <c r="E1183" s="26">
        <v>50</v>
      </c>
      <c r="F1183" s="26">
        <f t="shared" si="23"/>
        <v>0.03</v>
      </c>
    </row>
    <row r="1184" spans="1:7" x14ac:dyDescent="0.25">
      <c r="A1184" s="26">
        <v>15</v>
      </c>
      <c r="B1184" s="26">
        <v>8</v>
      </c>
      <c r="C1184" s="26">
        <v>0.4</v>
      </c>
      <c r="D1184" s="26">
        <v>2</v>
      </c>
      <c r="E1184" s="26">
        <v>66</v>
      </c>
      <c r="F1184" s="26">
        <f t="shared" si="23"/>
        <v>3.0303030303030304E-2</v>
      </c>
    </row>
    <row r="1185" spans="1:6" x14ac:dyDescent="0.25">
      <c r="A1185" s="26">
        <v>15</v>
      </c>
      <c r="B1185" s="26">
        <v>8</v>
      </c>
      <c r="C1185" s="26">
        <v>0.4</v>
      </c>
      <c r="D1185" s="26">
        <v>2.5</v>
      </c>
      <c r="E1185" s="26">
        <v>83</v>
      </c>
      <c r="F1185" s="26">
        <f t="shared" si="23"/>
        <v>3.0120481927710843E-2</v>
      </c>
    </row>
    <row r="1186" spans="1:6" x14ac:dyDescent="0.25">
      <c r="A1186" s="26">
        <v>15</v>
      </c>
      <c r="B1186" s="26">
        <v>8</v>
      </c>
      <c r="C1186" s="26">
        <v>0.4</v>
      </c>
      <c r="D1186" s="26">
        <v>3</v>
      </c>
      <c r="E1186" s="26">
        <v>99</v>
      </c>
      <c r="F1186" s="26">
        <f t="shared" si="23"/>
        <v>3.0303030303030304E-2</v>
      </c>
    </row>
    <row r="1187" spans="1:6" x14ac:dyDescent="0.25">
      <c r="A1187" s="26">
        <v>15</v>
      </c>
      <c r="B1187" s="26">
        <v>8</v>
      </c>
      <c r="C1187" s="26">
        <v>0.6</v>
      </c>
      <c r="D1187" s="26">
        <v>0.5</v>
      </c>
      <c r="E1187" s="26">
        <v>17</v>
      </c>
      <c r="F1187" s="26">
        <f t="shared" si="23"/>
        <v>2.9411764705882353E-2</v>
      </c>
    </row>
    <row r="1188" spans="1:6" x14ac:dyDescent="0.25">
      <c r="A1188" s="26">
        <v>15</v>
      </c>
      <c r="B1188" s="26">
        <v>8</v>
      </c>
      <c r="C1188" s="26">
        <v>0.6</v>
      </c>
      <c r="D1188" s="26">
        <v>1</v>
      </c>
      <c r="E1188" s="26">
        <v>34</v>
      </c>
      <c r="F1188" s="26">
        <f t="shared" si="23"/>
        <v>2.9411764705882353E-2</v>
      </c>
    </row>
    <row r="1189" spans="1:6" x14ac:dyDescent="0.25">
      <c r="A1189" s="26">
        <v>15</v>
      </c>
      <c r="B1189" s="26">
        <v>8</v>
      </c>
      <c r="C1189" s="26">
        <v>0.6</v>
      </c>
      <c r="D1189" s="26">
        <v>1.5</v>
      </c>
      <c r="E1189" s="26">
        <v>51</v>
      </c>
      <c r="F1189" s="26">
        <f t="shared" si="23"/>
        <v>2.9411764705882353E-2</v>
      </c>
    </row>
    <row r="1190" spans="1:6" x14ac:dyDescent="0.25">
      <c r="A1190" s="26">
        <v>15</v>
      </c>
      <c r="B1190" s="26">
        <v>8</v>
      </c>
      <c r="C1190" s="26">
        <v>0.6</v>
      </c>
      <c r="D1190" s="26">
        <v>2</v>
      </c>
      <c r="E1190" s="26">
        <v>68</v>
      </c>
      <c r="F1190" s="26">
        <f t="shared" si="23"/>
        <v>2.9411764705882353E-2</v>
      </c>
    </row>
    <row r="1191" spans="1:6" x14ac:dyDescent="0.25">
      <c r="A1191" s="26">
        <v>15</v>
      </c>
      <c r="B1191" s="26">
        <v>8</v>
      </c>
      <c r="C1191" s="26">
        <v>0.6</v>
      </c>
      <c r="D1191" s="26">
        <v>2.5</v>
      </c>
      <c r="E1191" s="26">
        <v>85</v>
      </c>
      <c r="F1191" s="26">
        <f t="shared" si="23"/>
        <v>2.9411764705882353E-2</v>
      </c>
    </row>
    <row r="1192" spans="1:6" x14ac:dyDescent="0.25">
      <c r="A1192" s="26">
        <v>15</v>
      </c>
      <c r="B1192" s="26">
        <v>8</v>
      </c>
      <c r="C1192" s="26">
        <v>0.6</v>
      </c>
      <c r="D1192" s="26">
        <v>3</v>
      </c>
      <c r="E1192" s="26">
        <v>102</v>
      </c>
      <c r="F1192" s="26">
        <f t="shared" si="23"/>
        <v>2.9411764705882353E-2</v>
      </c>
    </row>
    <row r="1193" spans="1:6" x14ac:dyDescent="0.25">
      <c r="A1193" s="26">
        <v>15</v>
      </c>
      <c r="B1193" s="26">
        <v>8</v>
      </c>
      <c r="C1193" s="26">
        <v>0.8</v>
      </c>
      <c r="D1193" s="26">
        <v>0.5</v>
      </c>
      <c r="E1193" s="26">
        <v>18</v>
      </c>
      <c r="F1193" s="26">
        <f t="shared" si="23"/>
        <v>2.7777777777777776E-2</v>
      </c>
    </row>
    <row r="1194" spans="1:6" x14ac:dyDescent="0.25">
      <c r="A1194" s="26">
        <v>15</v>
      </c>
      <c r="B1194" s="26">
        <v>8</v>
      </c>
      <c r="C1194" s="26">
        <v>0.8</v>
      </c>
      <c r="D1194" s="26">
        <v>1</v>
      </c>
      <c r="E1194" s="26">
        <v>35</v>
      </c>
      <c r="F1194" s="26">
        <f t="shared" si="23"/>
        <v>2.8571428571428571E-2</v>
      </c>
    </row>
    <row r="1195" spans="1:6" x14ac:dyDescent="0.25">
      <c r="A1195" s="26">
        <v>15</v>
      </c>
      <c r="B1195" s="26">
        <v>8</v>
      </c>
      <c r="C1195" s="26">
        <v>0.8</v>
      </c>
      <c r="D1195" s="26">
        <v>1.5</v>
      </c>
      <c r="E1195" s="26">
        <v>53</v>
      </c>
      <c r="F1195" s="26">
        <f t="shared" si="23"/>
        <v>2.8301886792452831E-2</v>
      </c>
    </row>
    <row r="1196" spans="1:6" x14ac:dyDescent="0.25">
      <c r="A1196" s="26">
        <v>15</v>
      </c>
      <c r="B1196" s="26">
        <v>8</v>
      </c>
      <c r="C1196" s="26">
        <v>0.8</v>
      </c>
      <c r="D1196" s="26">
        <v>2</v>
      </c>
      <c r="E1196" s="26">
        <v>70</v>
      </c>
      <c r="F1196" s="26">
        <f t="shared" si="23"/>
        <v>2.8571428571428571E-2</v>
      </c>
    </row>
    <row r="1197" spans="1:6" x14ac:dyDescent="0.25">
      <c r="A1197" s="26">
        <v>15</v>
      </c>
      <c r="B1197" s="26">
        <v>8</v>
      </c>
      <c r="C1197" s="26">
        <v>0.8</v>
      </c>
      <c r="D1197" s="26">
        <v>2.5</v>
      </c>
      <c r="E1197" s="26">
        <v>88</v>
      </c>
      <c r="F1197" s="26">
        <f t="shared" si="23"/>
        <v>2.8409090909090908E-2</v>
      </c>
    </row>
    <row r="1198" spans="1:6" x14ac:dyDescent="0.25">
      <c r="A1198" s="26">
        <v>15</v>
      </c>
      <c r="B1198" s="26">
        <v>8</v>
      </c>
      <c r="C1198" s="26">
        <v>0.8</v>
      </c>
      <c r="D1198" s="26">
        <v>3</v>
      </c>
      <c r="E1198" s="26">
        <v>105</v>
      </c>
      <c r="F1198" s="26">
        <f t="shared" si="23"/>
        <v>2.8571428571428571E-2</v>
      </c>
    </row>
    <row r="1199" spans="1:6" x14ac:dyDescent="0.25">
      <c r="A1199" s="26">
        <v>15</v>
      </c>
      <c r="B1199" s="26">
        <v>8</v>
      </c>
      <c r="C1199" s="26">
        <v>1</v>
      </c>
      <c r="D1199" s="26">
        <v>0.5</v>
      </c>
      <c r="E1199" s="26">
        <v>18</v>
      </c>
      <c r="F1199" s="26">
        <f t="shared" si="23"/>
        <v>2.7777777777777776E-2</v>
      </c>
    </row>
    <row r="1200" spans="1:6" x14ac:dyDescent="0.25">
      <c r="A1200" s="26">
        <v>15</v>
      </c>
      <c r="B1200" s="26">
        <v>8</v>
      </c>
      <c r="C1200" s="26">
        <v>1</v>
      </c>
      <c r="D1200" s="26">
        <v>1</v>
      </c>
      <c r="E1200" s="26">
        <v>36</v>
      </c>
      <c r="F1200" s="26">
        <f t="shared" si="23"/>
        <v>2.7777777777777776E-2</v>
      </c>
    </row>
    <row r="1201" spans="1:6" x14ac:dyDescent="0.25">
      <c r="A1201" s="26">
        <v>15</v>
      </c>
      <c r="B1201" s="26">
        <v>8</v>
      </c>
      <c r="C1201" s="26">
        <v>1</v>
      </c>
      <c r="D1201" s="26">
        <v>1.5</v>
      </c>
      <c r="E1201" s="26">
        <v>54</v>
      </c>
      <c r="F1201" s="26">
        <f t="shared" si="23"/>
        <v>2.7777777777777776E-2</v>
      </c>
    </row>
    <row r="1202" spans="1:6" x14ac:dyDescent="0.25">
      <c r="A1202" s="26">
        <v>15</v>
      </c>
      <c r="B1202" s="26">
        <v>8</v>
      </c>
      <c r="C1202" s="26">
        <v>1</v>
      </c>
      <c r="D1202" s="26">
        <v>2</v>
      </c>
      <c r="E1202" s="26">
        <v>72</v>
      </c>
      <c r="F1202" s="26">
        <f t="shared" si="23"/>
        <v>2.7777777777777776E-2</v>
      </c>
    </row>
    <row r="1203" spans="1:6" x14ac:dyDescent="0.25">
      <c r="A1203" s="26">
        <v>15</v>
      </c>
      <c r="B1203" s="26">
        <v>8</v>
      </c>
      <c r="C1203" s="26">
        <v>1</v>
      </c>
      <c r="D1203" s="26">
        <v>2.5</v>
      </c>
      <c r="E1203" s="26">
        <v>90</v>
      </c>
      <c r="F1203" s="26">
        <f t="shared" si="23"/>
        <v>2.7777777777777776E-2</v>
      </c>
    </row>
    <row r="1204" spans="1:6" x14ac:dyDescent="0.25">
      <c r="A1204" s="26">
        <v>15</v>
      </c>
      <c r="B1204" s="26">
        <v>8</v>
      </c>
      <c r="C1204" s="26">
        <v>1</v>
      </c>
      <c r="D1204" s="26">
        <v>3</v>
      </c>
      <c r="E1204" s="26">
        <v>108</v>
      </c>
      <c r="F1204" s="26">
        <f t="shared" si="23"/>
        <v>2.7777777777777776E-2</v>
      </c>
    </row>
    <row r="1205" spans="1:6" x14ac:dyDescent="0.25">
      <c r="A1205" s="26">
        <v>15</v>
      </c>
      <c r="B1205" s="26">
        <v>8</v>
      </c>
      <c r="C1205" s="26">
        <v>1.2</v>
      </c>
      <c r="D1205" s="26">
        <v>0.5</v>
      </c>
      <c r="E1205" s="26">
        <v>19</v>
      </c>
      <c r="F1205" s="26">
        <f t="shared" si="23"/>
        <v>2.6315789473684209E-2</v>
      </c>
    </row>
    <row r="1206" spans="1:6" x14ac:dyDescent="0.25">
      <c r="A1206" s="26">
        <v>15</v>
      </c>
      <c r="B1206" s="26">
        <v>8</v>
      </c>
      <c r="C1206" s="26">
        <v>1.2</v>
      </c>
      <c r="D1206" s="26">
        <v>1</v>
      </c>
      <c r="E1206" s="26">
        <v>37</v>
      </c>
      <c r="F1206" s="26">
        <f t="shared" si="23"/>
        <v>2.7027027027027029E-2</v>
      </c>
    </row>
    <row r="1207" spans="1:6" x14ac:dyDescent="0.25">
      <c r="A1207" s="26">
        <v>15</v>
      </c>
      <c r="B1207" s="26">
        <v>8</v>
      </c>
      <c r="C1207" s="26">
        <v>1.2</v>
      </c>
      <c r="D1207" s="26">
        <v>1.5</v>
      </c>
      <c r="E1207" s="26">
        <v>57</v>
      </c>
      <c r="F1207" s="26">
        <f t="shared" si="23"/>
        <v>2.6315789473684209E-2</v>
      </c>
    </row>
    <row r="1208" spans="1:6" x14ac:dyDescent="0.25">
      <c r="A1208" s="26">
        <v>15</v>
      </c>
      <c r="B1208" s="26">
        <v>8</v>
      </c>
      <c r="C1208" s="26">
        <v>1.2</v>
      </c>
      <c r="D1208" s="26">
        <v>2</v>
      </c>
      <c r="E1208" s="26">
        <v>74</v>
      </c>
      <c r="F1208" s="26">
        <f t="shared" si="23"/>
        <v>2.7027027027027029E-2</v>
      </c>
    </row>
    <row r="1209" spans="1:6" x14ac:dyDescent="0.25">
      <c r="A1209" s="26">
        <v>15</v>
      </c>
      <c r="B1209" s="26">
        <v>8</v>
      </c>
      <c r="C1209" s="26">
        <v>1.2</v>
      </c>
      <c r="D1209" s="26">
        <v>2.5</v>
      </c>
      <c r="E1209" s="26">
        <v>93</v>
      </c>
      <c r="F1209" s="26">
        <f t="shared" si="23"/>
        <v>2.6881720430107527E-2</v>
      </c>
    </row>
    <row r="1210" spans="1:6" x14ac:dyDescent="0.25">
      <c r="A1210" s="26">
        <v>15</v>
      </c>
      <c r="B1210" s="26">
        <v>8</v>
      </c>
      <c r="C1210" s="26">
        <v>1.2</v>
      </c>
      <c r="D1210" s="26">
        <v>3</v>
      </c>
      <c r="E1210" s="26">
        <v>111</v>
      </c>
      <c r="F1210" s="26">
        <f t="shared" si="23"/>
        <v>2.7027027027027029E-2</v>
      </c>
    </row>
    <row r="1211" spans="1:6" x14ac:dyDescent="0.25">
      <c r="A1211" s="26">
        <v>15</v>
      </c>
      <c r="B1211" s="26">
        <v>8</v>
      </c>
      <c r="C1211" s="26">
        <v>1.4</v>
      </c>
      <c r="D1211" s="26">
        <v>0.5</v>
      </c>
      <c r="E1211" s="26">
        <v>19</v>
      </c>
      <c r="F1211" s="26">
        <f t="shared" si="23"/>
        <v>2.6315789473684209E-2</v>
      </c>
    </row>
    <row r="1212" spans="1:6" x14ac:dyDescent="0.25">
      <c r="A1212" s="26">
        <v>15</v>
      </c>
      <c r="B1212" s="26">
        <v>8</v>
      </c>
      <c r="C1212" s="26">
        <v>1.4</v>
      </c>
      <c r="D1212" s="26">
        <v>1</v>
      </c>
      <c r="E1212" s="26">
        <v>38</v>
      </c>
      <c r="F1212" s="26">
        <f t="shared" si="23"/>
        <v>2.6315789473684209E-2</v>
      </c>
    </row>
    <row r="1213" spans="1:6" x14ac:dyDescent="0.25">
      <c r="A1213" s="26">
        <v>15</v>
      </c>
      <c r="B1213" s="26">
        <v>8</v>
      </c>
      <c r="C1213" s="26">
        <v>1.4</v>
      </c>
      <c r="D1213" s="26">
        <v>1.5</v>
      </c>
      <c r="E1213" s="26">
        <v>57</v>
      </c>
      <c r="F1213" s="26">
        <f t="shared" si="23"/>
        <v>2.6315789473684209E-2</v>
      </c>
    </row>
    <row r="1214" spans="1:6" x14ac:dyDescent="0.25">
      <c r="A1214" s="26">
        <v>15</v>
      </c>
      <c r="B1214" s="26">
        <v>8</v>
      </c>
      <c r="C1214" s="26">
        <v>1.4</v>
      </c>
      <c r="D1214" s="26">
        <v>2</v>
      </c>
      <c r="E1214" s="26">
        <v>76</v>
      </c>
      <c r="F1214" s="26">
        <f t="shared" si="23"/>
        <v>2.6315789473684209E-2</v>
      </c>
    </row>
    <row r="1215" spans="1:6" x14ac:dyDescent="0.25">
      <c r="A1215" s="26">
        <v>15</v>
      </c>
      <c r="B1215" s="26">
        <v>8</v>
      </c>
      <c r="C1215" s="26">
        <v>1.4</v>
      </c>
      <c r="D1215" s="26">
        <v>2.5</v>
      </c>
      <c r="E1215" s="26">
        <v>95</v>
      </c>
      <c r="F1215" s="26">
        <f t="shared" si="23"/>
        <v>2.6315789473684209E-2</v>
      </c>
    </row>
    <row r="1216" spans="1:6" x14ac:dyDescent="0.25">
      <c r="A1216" s="26">
        <v>15</v>
      </c>
      <c r="B1216" s="26">
        <v>8</v>
      </c>
      <c r="C1216" s="26">
        <v>1.4</v>
      </c>
      <c r="D1216" s="26">
        <v>3</v>
      </c>
      <c r="E1216" s="26">
        <v>114</v>
      </c>
      <c r="F1216" s="26">
        <f t="shared" si="23"/>
        <v>2.6315789473684209E-2</v>
      </c>
    </row>
    <row r="1217" spans="1:6" x14ac:dyDescent="0.25">
      <c r="A1217" s="26">
        <v>15</v>
      </c>
      <c r="B1217" s="26">
        <v>8</v>
      </c>
      <c r="C1217" s="26">
        <v>1.6</v>
      </c>
      <c r="D1217" s="26">
        <v>0.5</v>
      </c>
      <c r="E1217" s="26">
        <v>19</v>
      </c>
      <c r="F1217" s="26">
        <f t="shared" si="23"/>
        <v>2.6315789473684209E-2</v>
      </c>
    </row>
    <row r="1218" spans="1:6" x14ac:dyDescent="0.25">
      <c r="A1218" s="26">
        <v>15</v>
      </c>
      <c r="B1218" s="26">
        <v>8</v>
      </c>
      <c r="C1218" s="26">
        <v>1.6</v>
      </c>
      <c r="D1218" s="26">
        <v>1</v>
      </c>
      <c r="E1218" s="26">
        <v>39</v>
      </c>
      <c r="F1218" s="26">
        <f t="shared" si="23"/>
        <v>2.564102564102564E-2</v>
      </c>
    </row>
    <row r="1219" spans="1:6" x14ac:dyDescent="0.25">
      <c r="A1219" s="26">
        <v>15</v>
      </c>
      <c r="B1219" s="26">
        <v>8</v>
      </c>
      <c r="C1219" s="26">
        <v>1.6</v>
      </c>
      <c r="D1219" s="26">
        <v>1.5</v>
      </c>
      <c r="E1219" s="26">
        <v>58</v>
      </c>
      <c r="F1219" s="26">
        <f t="shared" si="23"/>
        <v>2.5862068965517241E-2</v>
      </c>
    </row>
    <row r="1220" spans="1:6" x14ac:dyDescent="0.25">
      <c r="A1220" s="26">
        <v>15</v>
      </c>
      <c r="B1220" s="26">
        <v>8</v>
      </c>
      <c r="C1220" s="26">
        <v>1.6</v>
      </c>
      <c r="D1220" s="26">
        <v>2</v>
      </c>
      <c r="E1220" s="26">
        <v>77</v>
      </c>
      <c r="F1220" s="26">
        <f t="shared" si="23"/>
        <v>2.5974025974025976E-2</v>
      </c>
    </row>
    <row r="1221" spans="1:6" x14ac:dyDescent="0.25">
      <c r="A1221" s="26">
        <v>15</v>
      </c>
      <c r="B1221" s="26">
        <v>8</v>
      </c>
      <c r="C1221" s="26">
        <v>1.6</v>
      </c>
      <c r="D1221" s="26">
        <v>2.5</v>
      </c>
      <c r="E1221" s="26">
        <v>97</v>
      </c>
      <c r="F1221" s="26">
        <f t="shared" ref="F1221:F1284" si="24">D1221/E1221</f>
        <v>2.5773195876288658E-2</v>
      </c>
    </row>
    <row r="1222" spans="1:6" x14ac:dyDescent="0.25">
      <c r="A1222" s="26">
        <v>15</v>
      </c>
      <c r="B1222" s="26">
        <v>8</v>
      </c>
      <c r="C1222" s="26">
        <v>1.6</v>
      </c>
      <c r="D1222" s="26">
        <v>3</v>
      </c>
      <c r="E1222" s="26">
        <v>116</v>
      </c>
      <c r="F1222" s="26">
        <f t="shared" si="24"/>
        <v>2.5862068965517241E-2</v>
      </c>
    </row>
    <row r="1223" spans="1:6" x14ac:dyDescent="0.25">
      <c r="A1223" s="26">
        <v>15</v>
      </c>
      <c r="B1223" s="26">
        <v>8</v>
      </c>
      <c r="C1223" s="26">
        <v>1.8</v>
      </c>
      <c r="D1223" s="26">
        <v>0.5</v>
      </c>
      <c r="E1223" s="26">
        <v>20</v>
      </c>
      <c r="F1223" s="26">
        <f t="shared" si="24"/>
        <v>2.5000000000000001E-2</v>
      </c>
    </row>
    <row r="1224" spans="1:6" x14ac:dyDescent="0.25">
      <c r="A1224" s="26">
        <v>15</v>
      </c>
      <c r="B1224" s="26">
        <v>8</v>
      </c>
      <c r="C1224" s="26">
        <v>1.8</v>
      </c>
      <c r="D1224" s="26">
        <v>1</v>
      </c>
      <c r="E1224" s="26">
        <v>40</v>
      </c>
      <c r="F1224" s="26">
        <f t="shared" si="24"/>
        <v>2.5000000000000001E-2</v>
      </c>
    </row>
    <row r="1225" spans="1:6" x14ac:dyDescent="0.25">
      <c r="A1225" s="26">
        <v>15</v>
      </c>
      <c r="B1225" s="26">
        <v>8</v>
      </c>
      <c r="C1225" s="26">
        <v>1.8</v>
      </c>
      <c r="D1225" s="26">
        <v>1.5</v>
      </c>
      <c r="E1225" s="26">
        <v>60</v>
      </c>
      <c r="F1225" s="26">
        <f t="shared" si="24"/>
        <v>2.5000000000000001E-2</v>
      </c>
    </row>
    <row r="1226" spans="1:6" x14ac:dyDescent="0.25">
      <c r="A1226" s="26">
        <v>15</v>
      </c>
      <c r="B1226" s="26">
        <v>8</v>
      </c>
      <c r="C1226" s="26">
        <v>1.8</v>
      </c>
      <c r="D1226" s="26">
        <v>2</v>
      </c>
      <c r="E1226" s="26">
        <v>79</v>
      </c>
      <c r="F1226" s="26">
        <f t="shared" si="24"/>
        <v>2.5316455696202531E-2</v>
      </c>
    </row>
    <row r="1227" spans="1:6" x14ac:dyDescent="0.25">
      <c r="A1227" s="26">
        <v>15</v>
      </c>
      <c r="B1227" s="26">
        <v>8</v>
      </c>
      <c r="C1227" s="26">
        <v>1.8</v>
      </c>
      <c r="D1227" s="26">
        <v>2.5</v>
      </c>
      <c r="E1227" s="26">
        <v>99</v>
      </c>
      <c r="F1227" s="26">
        <f t="shared" si="24"/>
        <v>2.5252525252525252E-2</v>
      </c>
    </row>
    <row r="1228" spans="1:6" x14ac:dyDescent="0.25">
      <c r="A1228" s="26">
        <v>15</v>
      </c>
      <c r="B1228" s="26">
        <v>8</v>
      </c>
      <c r="C1228" s="26">
        <v>1.8</v>
      </c>
      <c r="D1228" s="26">
        <v>3</v>
      </c>
      <c r="E1228" s="26">
        <v>119</v>
      </c>
      <c r="F1228" s="26">
        <f t="shared" si="24"/>
        <v>2.5210084033613446E-2</v>
      </c>
    </row>
    <row r="1229" spans="1:6" x14ac:dyDescent="0.25">
      <c r="A1229" s="26">
        <v>15</v>
      </c>
      <c r="B1229" s="26">
        <v>8</v>
      </c>
      <c r="C1229" s="26">
        <v>2</v>
      </c>
      <c r="D1229" s="26">
        <v>0.5</v>
      </c>
      <c r="E1229" s="26">
        <v>20</v>
      </c>
      <c r="F1229" s="26">
        <f t="shared" si="24"/>
        <v>2.5000000000000001E-2</v>
      </c>
    </row>
    <row r="1230" spans="1:6" x14ac:dyDescent="0.25">
      <c r="A1230" s="26">
        <v>15</v>
      </c>
      <c r="B1230" s="26">
        <v>8</v>
      </c>
      <c r="C1230" s="26">
        <v>2</v>
      </c>
      <c r="D1230" s="26">
        <v>1</v>
      </c>
      <c r="E1230" s="26">
        <v>41</v>
      </c>
      <c r="F1230" s="26">
        <f t="shared" si="24"/>
        <v>2.4390243902439025E-2</v>
      </c>
    </row>
    <row r="1231" spans="1:6" x14ac:dyDescent="0.25">
      <c r="A1231" s="26">
        <v>15</v>
      </c>
      <c r="B1231" s="26">
        <v>8</v>
      </c>
      <c r="C1231" s="26">
        <v>2</v>
      </c>
      <c r="D1231" s="26">
        <v>1.5</v>
      </c>
      <c r="E1231" s="26">
        <v>61</v>
      </c>
      <c r="F1231" s="26">
        <f t="shared" si="24"/>
        <v>2.4590163934426229E-2</v>
      </c>
    </row>
    <row r="1232" spans="1:6" x14ac:dyDescent="0.25">
      <c r="A1232" s="26">
        <v>15</v>
      </c>
      <c r="B1232" s="26">
        <v>8</v>
      </c>
      <c r="C1232" s="26">
        <v>2</v>
      </c>
      <c r="D1232" s="26">
        <v>2</v>
      </c>
      <c r="E1232" s="26">
        <v>81</v>
      </c>
      <c r="F1232" s="26">
        <f t="shared" si="24"/>
        <v>2.4691358024691357E-2</v>
      </c>
    </row>
    <row r="1233" spans="1:6" x14ac:dyDescent="0.25">
      <c r="A1233" s="26">
        <v>15</v>
      </c>
      <c r="B1233" s="26">
        <v>8</v>
      </c>
      <c r="C1233" s="26">
        <v>2</v>
      </c>
      <c r="D1233" s="26">
        <v>2.5</v>
      </c>
      <c r="E1233" s="26">
        <v>102</v>
      </c>
      <c r="F1233" s="26">
        <f t="shared" si="24"/>
        <v>2.4509803921568627E-2</v>
      </c>
    </row>
    <row r="1234" spans="1:6" x14ac:dyDescent="0.25">
      <c r="A1234" s="26">
        <v>15</v>
      </c>
      <c r="B1234" s="26">
        <v>8</v>
      </c>
      <c r="C1234" s="26">
        <v>2</v>
      </c>
      <c r="D1234" s="26">
        <v>3</v>
      </c>
      <c r="E1234" s="26">
        <v>122</v>
      </c>
      <c r="F1234" s="26">
        <f t="shared" si="24"/>
        <v>2.4590163934426229E-2</v>
      </c>
    </row>
    <row r="1235" spans="1:6" x14ac:dyDescent="0.25">
      <c r="A1235" s="26">
        <v>15</v>
      </c>
      <c r="B1235" s="26">
        <v>8</v>
      </c>
      <c r="C1235" s="26">
        <v>2.2000000000000002</v>
      </c>
      <c r="D1235" s="26">
        <v>0.5</v>
      </c>
      <c r="E1235" s="26">
        <v>21</v>
      </c>
      <c r="F1235" s="26">
        <f t="shared" si="24"/>
        <v>2.3809523809523808E-2</v>
      </c>
    </row>
    <row r="1236" spans="1:6" x14ac:dyDescent="0.25">
      <c r="A1236" s="26">
        <v>15</v>
      </c>
      <c r="B1236" s="26">
        <v>8</v>
      </c>
      <c r="C1236" s="26">
        <v>2.2000000000000002</v>
      </c>
      <c r="D1236" s="26">
        <v>1</v>
      </c>
      <c r="E1236" s="26">
        <v>41</v>
      </c>
      <c r="F1236" s="26">
        <f t="shared" si="24"/>
        <v>2.4390243902439025E-2</v>
      </c>
    </row>
    <row r="1237" spans="1:6" x14ac:dyDescent="0.25">
      <c r="A1237" s="26">
        <v>15</v>
      </c>
      <c r="B1237" s="26">
        <v>8</v>
      </c>
      <c r="C1237" s="26">
        <v>2.2000000000000002</v>
      </c>
      <c r="D1237" s="26">
        <v>1.5</v>
      </c>
      <c r="E1237" s="26">
        <v>62</v>
      </c>
      <c r="F1237" s="26">
        <f t="shared" si="24"/>
        <v>2.4193548387096774E-2</v>
      </c>
    </row>
    <row r="1238" spans="1:6" x14ac:dyDescent="0.25">
      <c r="A1238" s="26">
        <v>15</v>
      </c>
      <c r="B1238" s="26">
        <v>8</v>
      </c>
      <c r="C1238" s="26">
        <v>2.2000000000000002</v>
      </c>
      <c r="D1238" s="26">
        <v>2</v>
      </c>
      <c r="E1238" s="26">
        <v>83</v>
      </c>
      <c r="F1238" s="26">
        <f t="shared" si="24"/>
        <v>2.4096385542168676E-2</v>
      </c>
    </row>
    <row r="1239" spans="1:6" x14ac:dyDescent="0.25">
      <c r="A1239" s="26">
        <v>15</v>
      </c>
      <c r="B1239" s="26">
        <v>8</v>
      </c>
      <c r="C1239" s="26">
        <v>2.2000000000000002</v>
      </c>
      <c r="D1239" s="26">
        <v>2.5</v>
      </c>
      <c r="E1239" s="26">
        <v>103</v>
      </c>
      <c r="F1239" s="26">
        <f t="shared" si="24"/>
        <v>2.4271844660194174E-2</v>
      </c>
    </row>
    <row r="1240" spans="1:6" x14ac:dyDescent="0.25">
      <c r="A1240" s="26">
        <v>15</v>
      </c>
      <c r="B1240" s="26">
        <v>8</v>
      </c>
      <c r="C1240" s="26">
        <v>2.2000000000000002</v>
      </c>
      <c r="D1240" s="26">
        <v>3</v>
      </c>
      <c r="E1240" s="26">
        <v>124</v>
      </c>
      <c r="F1240" s="26">
        <f t="shared" si="24"/>
        <v>2.4193548387096774E-2</v>
      </c>
    </row>
    <row r="1241" spans="1:6" x14ac:dyDescent="0.25">
      <c r="A1241" s="26">
        <v>15</v>
      </c>
      <c r="B1241" s="26">
        <v>8</v>
      </c>
      <c r="C1241" s="26">
        <v>2.4</v>
      </c>
      <c r="D1241" s="26">
        <v>0.5</v>
      </c>
      <c r="E1241" s="26">
        <v>21</v>
      </c>
      <c r="F1241" s="26">
        <f t="shared" si="24"/>
        <v>2.3809523809523808E-2</v>
      </c>
    </row>
    <row r="1242" spans="1:6" x14ac:dyDescent="0.25">
      <c r="A1242" s="26">
        <v>15</v>
      </c>
      <c r="B1242" s="26">
        <v>8</v>
      </c>
      <c r="C1242" s="26">
        <v>2.4</v>
      </c>
      <c r="D1242" s="26">
        <v>1</v>
      </c>
      <c r="E1242" s="26">
        <v>42</v>
      </c>
      <c r="F1242" s="26">
        <f t="shared" si="24"/>
        <v>2.3809523809523808E-2</v>
      </c>
    </row>
    <row r="1243" spans="1:6" x14ac:dyDescent="0.25">
      <c r="A1243" s="26">
        <v>15</v>
      </c>
      <c r="B1243" s="26">
        <v>8</v>
      </c>
      <c r="C1243" s="26">
        <v>2.4</v>
      </c>
      <c r="D1243" s="26">
        <v>1.5</v>
      </c>
      <c r="E1243" s="26">
        <v>64</v>
      </c>
      <c r="F1243" s="26">
        <f t="shared" si="24"/>
        <v>2.34375E-2</v>
      </c>
    </row>
    <row r="1244" spans="1:6" x14ac:dyDescent="0.25">
      <c r="A1244" s="26">
        <v>15</v>
      </c>
      <c r="B1244" s="26">
        <v>8</v>
      </c>
      <c r="C1244" s="26">
        <v>2.4</v>
      </c>
      <c r="D1244" s="26">
        <v>2</v>
      </c>
      <c r="E1244" s="26">
        <v>85</v>
      </c>
      <c r="F1244" s="26">
        <f t="shared" si="24"/>
        <v>2.3529411764705882E-2</v>
      </c>
    </row>
    <row r="1245" spans="1:6" x14ac:dyDescent="0.25">
      <c r="A1245" s="26">
        <v>15</v>
      </c>
      <c r="B1245" s="26">
        <v>8</v>
      </c>
      <c r="C1245" s="26">
        <v>2.4</v>
      </c>
      <c r="D1245" s="26">
        <v>2.5</v>
      </c>
      <c r="E1245" s="26">
        <v>106</v>
      </c>
      <c r="F1245" s="26">
        <f t="shared" si="24"/>
        <v>2.358490566037736E-2</v>
      </c>
    </row>
    <row r="1246" spans="1:6" x14ac:dyDescent="0.25">
      <c r="A1246" s="26">
        <v>15</v>
      </c>
      <c r="B1246" s="26">
        <v>8</v>
      </c>
      <c r="C1246" s="26">
        <v>2.4</v>
      </c>
      <c r="D1246" s="26">
        <v>3</v>
      </c>
      <c r="E1246" s="26">
        <v>127</v>
      </c>
      <c r="F1246" s="26">
        <f t="shared" si="24"/>
        <v>2.3622047244094488E-2</v>
      </c>
    </row>
    <row r="1247" spans="1:6" x14ac:dyDescent="0.25">
      <c r="A1247" s="26">
        <v>15</v>
      </c>
      <c r="B1247" s="26">
        <v>8</v>
      </c>
      <c r="C1247" s="26">
        <v>2.6</v>
      </c>
      <c r="D1247" s="26">
        <v>0.5</v>
      </c>
      <c r="E1247" s="26">
        <v>22</v>
      </c>
      <c r="F1247" s="26">
        <f t="shared" si="24"/>
        <v>2.2727272727272728E-2</v>
      </c>
    </row>
    <row r="1248" spans="1:6" x14ac:dyDescent="0.25">
      <c r="A1248" s="26">
        <v>15</v>
      </c>
      <c r="B1248" s="26">
        <v>8</v>
      </c>
      <c r="C1248" s="26">
        <v>2.6</v>
      </c>
      <c r="D1248" s="26">
        <v>1</v>
      </c>
      <c r="E1248" s="26">
        <v>43</v>
      </c>
      <c r="F1248" s="26">
        <f t="shared" si="24"/>
        <v>2.3255813953488372E-2</v>
      </c>
    </row>
    <row r="1249" spans="1:6" x14ac:dyDescent="0.25">
      <c r="A1249" s="26">
        <v>15</v>
      </c>
      <c r="B1249" s="26">
        <v>8</v>
      </c>
      <c r="C1249" s="26">
        <v>2.6</v>
      </c>
      <c r="D1249" s="26">
        <v>1.5</v>
      </c>
      <c r="E1249" s="26">
        <v>65</v>
      </c>
      <c r="F1249" s="26">
        <f t="shared" si="24"/>
        <v>2.3076923076923078E-2</v>
      </c>
    </row>
    <row r="1250" spans="1:6" x14ac:dyDescent="0.25">
      <c r="A1250" s="26">
        <v>15</v>
      </c>
      <c r="B1250" s="26">
        <v>8</v>
      </c>
      <c r="C1250" s="26">
        <v>2.6</v>
      </c>
      <c r="D1250" s="26">
        <v>2</v>
      </c>
      <c r="E1250" s="26">
        <v>86</v>
      </c>
      <c r="F1250" s="26">
        <f t="shared" si="24"/>
        <v>2.3255813953488372E-2</v>
      </c>
    </row>
    <row r="1251" spans="1:6" x14ac:dyDescent="0.25">
      <c r="A1251" s="26">
        <v>15</v>
      </c>
      <c r="B1251" s="26">
        <v>8</v>
      </c>
      <c r="C1251" s="26">
        <v>2.6</v>
      </c>
      <c r="D1251" s="26">
        <v>2.5</v>
      </c>
      <c r="E1251" s="26">
        <v>108</v>
      </c>
      <c r="F1251" s="26">
        <f t="shared" si="24"/>
        <v>2.3148148148148147E-2</v>
      </c>
    </row>
    <row r="1252" spans="1:6" x14ac:dyDescent="0.25">
      <c r="A1252" s="26">
        <v>15</v>
      </c>
      <c r="B1252" s="26">
        <v>8</v>
      </c>
      <c r="C1252" s="26">
        <v>2.6</v>
      </c>
      <c r="D1252" s="26">
        <v>3</v>
      </c>
      <c r="E1252" s="26">
        <v>129</v>
      </c>
      <c r="F1252" s="26">
        <f t="shared" si="24"/>
        <v>2.3255813953488372E-2</v>
      </c>
    </row>
    <row r="1253" spans="1:6" x14ac:dyDescent="0.25">
      <c r="A1253" s="26">
        <v>15</v>
      </c>
      <c r="B1253" s="26">
        <v>8</v>
      </c>
      <c r="C1253" s="26">
        <v>2.8</v>
      </c>
      <c r="D1253" s="26">
        <v>0.5</v>
      </c>
      <c r="E1253" s="26">
        <v>22</v>
      </c>
      <c r="F1253" s="26">
        <f t="shared" si="24"/>
        <v>2.2727272727272728E-2</v>
      </c>
    </row>
    <row r="1254" spans="1:6" x14ac:dyDescent="0.25">
      <c r="A1254" s="26">
        <v>15</v>
      </c>
      <c r="B1254" s="26">
        <v>8</v>
      </c>
      <c r="C1254" s="26">
        <v>2.8</v>
      </c>
      <c r="D1254" s="26">
        <v>1</v>
      </c>
      <c r="E1254" s="26">
        <v>44</v>
      </c>
      <c r="F1254" s="26">
        <f t="shared" si="24"/>
        <v>2.2727272727272728E-2</v>
      </c>
    </row>
    <row r="1255" spans="1:6" x14ac:dyDescent="0.25">
      <c r="A1255" s="26">
        <v>15</v>
      </c>
      <c r="B1255" s="26">
        <v>8</v>
      </c>
      <c r="C1255" s="26">
        <v>2.8</v>
      </c>
      <c r="D1255" s="26">
        <v>1.5</v>
      </c>
      <c r="E1255" s="26">
        <v>66</v>
      </c>
      <c r="F1255" s="26">
        <f t="shared" si="24"/>
        <v>2.2727272727272728E-2</v>
      </c>
    </row>
    <row r="1256" spans="1:6" x14ac:dyDescent="0.25">
      <c r="A1256" s="26">
        <v>15</v>
      </c>
      <c r="B1256" s="26">
        <v>8</v>
      </c>
      <c r="C1256" s="26">
        <v>2.8</v>
      </c>
      <c r="D1256" s="26">
        <v>2</v>
      </c>
      <c r="E1256" s="26">
        <v>88</v>
      </c>
      <c r="F1256" s="26">
        <f t="shared" si="24"/>
        <v>2.2727272727272728E-2</v>
      </c>
    </row>
    <row r="1257" spans="1:6" x14ac:dyDescent="0.25">
      <c r="A1257" s="26">
        <v>15</v>
      </c>
      <c r="B1257" s="26">
        <v>8</v>
      </c>
      <c r="C1257" s="26">
        <v>2.8</v>
      </c>
      <c r="D1257" s="26">
        <v>2.5</v>
      </c>
      <c r="E1257" s="26">
        <v>110</v>
      </c>
      <c r="F1257" s="26">
        <f t="shared" si="24"/>
        <v>2.2727272727272728E-2</v>
      </c>
    </row>
    <row r="1258" spans="1:6" x14ac:dyDescent="0.25">
      <c r="A1258" s="26">
        <v>15</v>
      </c>
      <c r="B1258" s="26">
        <v>8</v>
      </c>
      <c r="C1258" s="26">
        <v>2.8</v>
      </c>
      <c r="D1258" s="26">
        <v>3</v>
      </c>
      <c r="E1258" s="26">
        <v>132</v>
      </c>
      <c r="F1258" s="26">
        <f t="shared" si="24"/>
        <v>2.2727272727272728E-2</v>
      </c>
    </row>
    <row r="1259" spans="1:6" x14ac:dyDescent="0.25">
      <c r="A1259" s="26">
        <v>15</v>
      </c>
      <c r="B1259" s="26">
        <v>8</v>
      </c>
      <c r="C1259" s="26">
        <v>3</v>
      </c>
      <c r="D1259" s="26">
        <v>0.5</v>
      </c>
      <c r="E1259" s="26">
        <v>22</v>
      </c>
      <c r="F1259" s="26">
        <f t="shared" si="24"/>
        <v>2.2727272727272728E-2</v>
      </c>
    </row>
    <row r="1260" spans="1:6" x14ac:dyDescent="0.25">
      <c r="A1260" s="26">
        <v>15</v>
      </c>
      <c r="B1260" s="26">
        <v>8</v>
      </c>
      <c r="C1260" s="26">
        <v>3</v>
      </c>
      <c r="D1260" s="26">
        <v>1</v>
      </c>
      <c r="E1260" s="26">
        <v>45</v>
      </c>
      <c r="F1260" s="26">
        <f t="shared" si="24"/>
        <v>2.2222222222222223E-2</v>
      </c>
    </row>
    <row r="1261" spans="1:6" x14ac:dyDescent="0.25">
      <c r="A1261" s="26">
        <v>15</v>
      </c>
      <c r="B1261" s="26">
        <v>8</v>
      </c>
      <c r="C1261" s="26">
        <v>3</v>
      </c>
      <c r="D1261" s="26">
        <v>1.5</v>
      </c>
      <c r="E1261" s="26">
        <v>67</v>
      </c>
      <c r="F1261" s="26">
        <f t="shared" si="24"/>
        <v>2.2388059701492536E-2</v>
      </c>
    </row>
    <row r="1262" spans="1:6" x14ac:dyDescent="0.25">
      <c r="A1262" s="26">
        <v>15</v>
      </c>
      <c r="B1262" s="26">
        <v>8</v>
      </c>
      <c r="C1262" s="26">
        <v>3</v>
      </c>
      <c r="D1262" s="26">
        <v>2</v>
      </c>
      <c r="E1262" s="26">
        <v>89</v>
      </c>
      <c r="F1262" s="26">
        <f t="shared" si="24"/>
        <v>2.247191011235955E-2</v>
      </c>
    </row>
    <row r="1263" spans="1:6" x14ac:dyDescent="0.25">
      <c r="A1263" s="26">
        <v>15</v>
      </c>
      <c r="B1263" s="26">
        <v>8</v>
      </c>
      <c r="C1263" s="26">
        <v>3</v>
      </c>
      <c r="D1263" s="26">
        <v>2.5</v>
      </c>
      <c r="E1263" s="26">
        <v>112</v>
      </c>
      <c r="F1263" s="26">
        <f t="shared" si="24"/>
        <v>2.2321428571428572E-2</v>
      </c>
    </row>
    <row r="1264" spans="1:6" x14ac:dyDescent="0.25">
      <c r="A1264" s="73">
        <v>15</v>
      </c>
      <c r="B1264" s="26">
        <v>8</v>
      </c>
      <c r="C1264" s="73">
        <v>3</v>
      </c>
      <c r="D1264" s="73">
        <v>3</v>
      </c>
      <c r="E1264" s="26">
        <v>134</v>
      </c>
      <c r="F1264" s="26">
        <f t="shared" si="24"/>
        <v>2.2388059701492536E-2</v>
      </c>
    </row>
    <row r="1265" spans="1:6" x14ac:dyDescent="0.25">
      <c r="A1265" s="26">
        <v>15</v>
      </c>
      <c r="B1265" s="26">
        <v>8.5</v>
      </c>
      <c r="C1265" s="26">
        <v>0.4</v>
      </c>
      <c r="D1265" s="26">
        <v>0.5</v>
      </c>
      <c r="E1265" s="26">
        <v>20</v>
      </c>
      <c r="F1265" s="26">
        <f t="shared" si="24"/>
        <v>2.5000000000000001E-2</v>
      </c>
    </row>
    <row r="1266" spans="1:6" x14ac:dyDescent="0.25">
      <c r="A1266" s="26">
        <v>15</v>
      </c>
      <c r="B1266" s="26">
        <v>8.5</v>
      </c>
      <c r="C1266" s="26">
        <v>0.4</v>
      </c>
      <c r="D1266" s="26">
        <v>1</v>
      </c>
      <c r="E1266" s="26">
        <v>39</v>
      </c>
      <c r="F1266" s="26">
        <f t="shared" si="24"/>
        <v>2.564102564102564E-2</v>
      </c>
    </row>
    <row r="1267" spans="1:6" x14ac:dyDescent="0.25">
      <c r="A1267" s="26">
        <v>15</v>
      </c>
      <c r="B1267" s="26">
        <v>8.5</v>
      </c>
      <c r="C1267" s="26">
        <v>0.4</v>
      </c>
      <c r="D1267" s="26">
        <v>1.5</v>
      </c>
      <c r="E1267" s="26">
        <v>59</v>
      </c>
      <c r="F1267" s="26">
        <f t="shared" si="24"/>
        <v>2.5423728813559324E-2</v>
      </c>
    </row>
    <row r="1268" spans="1:6" x14ac:dyDescent="0.25">
      <c r="A1268" s="26">
        <v>15</v>
      </c>
      <c r="B1268" s="26">
        <v>8.5</v>
      </c>
      <c r="C1268" s="26">
        <v>0.4</v>
      </c>
      <c r="D1268" s="26">
        <v>2</v>
      </c>
      <c r="E1268" s="26">
        <v>79</v>
      </c>
      <c r="F1268" s="26">
        <f t="shared" si="24"/>
        <v>2.5316455696202531E-2</v>
      </c>
    </row>
    <row r="1269" spans="1:6" x14ac:dyDescent="0.25">
      <c r="A1269" s="26">
        <v>15</v>
      </c>
      <c r="B1269" s="26">
        <v>8.5</v>
      </c>
      <c r="C1269" s="26">
        <v>0.4</v>
      </c>
      <c r="D1269" s="26">
        <v>2.5</v>
      </c>
      <c r="E1269" s="26">
        <v>98</v>
      </c>
      <c r="F1269" s="26">
        <f t="shared" si="24"/>
        <v>2.5510204081632654E-2</v>
      </c>
    </row>
    <row r="1270" spans="1:6" x14ac:dyDescent="0.25">
      <c r="A1270" s="26">
        <v>15</v>
      </c>
      <c r="B1270" s="26">
        <v>8.5</v>
      </c>
      <c r="C1270" s="26">
        <v>0.4</v>
      </c>
      <c r="D1270" s="26">
        <v>3</v>
      </c>
      <c r="E1270" s="26">
        <v>118</v>
      </c>
      <c r="F1270" s="26">
        <f t="shared" si="24"/>
        <v>2.5423728813559324E-2</v>
      </c>
    </row>
    <row r="1271" spans="1:6" x14ac:dyDescent="0.25">
      <c r="A1271" s="26">
        <v>15</v>
      </c>
      <c r="B1271" s="26">
        <v>8.5</v>
      </c>
      <c r="C1271" s="26">
        <v>0.6</v>
      </c>
      <c r="D1271" s="26">
        <v>0.5</v>
      </c>
      <c r="E1271" s="26">
        <v>20</v>
      </c>
      <c r="F1271" s="26">
        <f t="shared" si="24"/>
        <v>2.5000000000000001E-2</v>
      </c>
    </row>
    <row r="1272" spans="1:6" x14ac:dyDescent="0.25">
      <c r="A1272" s="26">
        <v>15</v>
      </c>
      <c r="B1272" s="26">
        <v>8.5</v>
      </c>
      <c r="C1272" s="26">
        <v>0.6</v>
      </c>
      <c r="D1272" s="26">
        <v>1</v>
      </c>
      <c r="E1272" s="26">
        <v>41</v>
      </c>
      <c r="F1272" s="26">
        <f t="shared" si="24"/>
        <v>2.4390243902439025E-2</v>
      </c>
    </row>
    <row r="1273" spans="1:6" x14ac:dyDescent="0.25">
      <c r="A1273" s="26">
        <v>15</v>
      </c>
      <c r="B1273" s="26">
        <v>8.5</v>
      </c>
      <c r="C1273" s="26">
        <v>0.6</v>
      </c>
      <c r="D1273" s="26">
        <v>1.5</v>
      </c>
      <c r="E1273" s="26">
        <v>61</v>
      </c>
      <c r="F1273" s="26">
        <f t="shared" si="24"/>
        <v>2.4590163934426229E-2</v>
      </c>
    </row>
    <row r="1274" spans="1:6" x14ac:dyDescent="0.25">
      <c r="A1274" s="26">
        <v>15</v>
      </c>
      <c r="B1274" s="26">
        <v>8.5</v>
      </c>
      <c r="C1274" s="26">
        <v>0.6</v>
      </c>
      <c r="D1274" s="26">
        <v>2</v>
      </c>
      <c r="E1274" s="26">
        <v>81</v>
      </c>
      <c r="F1274" s="26">
        <f t="shared" si="24"/>
        <v>2.4691358024691357E-2</v>
      </c>
    </row>
    <row r="1275" spans="1:6" x14ac:dyDescent="0.25">
      <c r="A1275" s="26">
        <v>15</v>
      </c>
      <c r="B1275" s="26">
        <v>8.5</v>
      </c>
      <c r="C1275" s="26">
        <v>0.6</v>
      </c>
      <c r="D1275" s="26">
        <v>2.5</v>
      </c>
      <c r="E1275" s="26">
        <v>102</v>
      </c>
      <c r="F1275" s="26">
        <f t="shared" si="24"/>
        <v>2.4509803921568627E-2</v>
      </c>
    </row>
    <row r="1276" spans="1:6" x14ac:dyDescent="0.25">
      <c r="A1276" s="26">
        <v>15</v>
      </c>
      <c r="B1276" s="26">
        <v>8.5</v>
      </c>
      <c r="C1276" s="26">
        <v>0.6</v>
      </c>
      <c r="D1276" s="26">
        <v>3</v>
      </c>
      <c r="E1276" s="26">
        <v>122</v>
      </c>
      <c r="F1276" s="26">
        <f t="shared" si="24"/>
        <v>2.4590163934426229E-2</v>
      </c>
    </row>
    <row r="1277" spans="1:6" x14ac:dyDescent="0.25">
      <c r="A1277" s="26">
        <v>15</v>
      </c>
      <c r="B1277" s="26">
        <v>8.5</v>
      </c>
      <c r="C1277" s="26">
        <v>0.8</v>
      </c>
      <c r="D1277" s="26">
        <v>0.5</v>
      </c>
      <c r="E1277" s="26">
        <v>21</v>
      </c>
      <c r="F1277" s="26">
        <f t="shared" si="24"/>
        <v>2.3809523809523808E-2</v>
      </c>
    </row>
    <row r="1278" spans="1:6" x14ac:dyDescent="0.25">
      <c r="A1278" s="26">
        <v>15</v>
      </c>
      <c r="B1278" s="26">
        <v>8.5</v>
      </c>
      <c r="C1278" s="26">
        <v>0.8</v>
      </c>
      <c r="D1278" s="26">
        <v>1</v>
      </c>
      <c r="E1278" s="26">
        <v>42</v>
      </c>
      <c r="F1278" s="26">
        <f t="shared" si="24"/>
        <v>2.3809523809523808E-2</v>
      </c>
    </row>
    <row r="1279" spans="1:6" x14ac:dyDescent="0.25">
      <c r="A1279" s="26">
        <v>15</v>
      </c>
      <c r="B1279" s="26">
        <v>8.5</v>
      </c>
      <c r="C1279" s="26">
        <v>0.8</v>
      </c>
      <c r="D1279" s="26">
        <v>1.5</v>
      </c>
      <c r="E1279" s="26">
        <v>63</v>
      </c>
      <c r="F1279" s="26">
        <f t="shared" si="24"/>
        <v>2.3809523809523808E-2</v>
      </c>
    </row>
    <row r="1280" spans="1:6" x14ac:dyDescent="0.25">
      <c r="A1280" s="26">
        <v>15</v>
      </c>
      <c r="B1280" s="26">
        <v>8.5</v>
      </c>
      <c r="C1280" s="26">
        <v>0.8</v>
      </c>
      <c r="D1280" s="26">
        <v>2</v>
      </c>
      <c r="E1280" s="26">
        <v>84</v>
      </c>
      <c r="F1280" s="26">
        <f t="shared" si="24"/>
        <v>2.3809523809523808E-2</v>
      </c>
    </row>
    <row r="1281" spans="1:6" x14ac:dyDescent="0.25">
      <c r="A1281" s="26">
        <v>15</v>
      </c>
      <c r="B1281" s="26">
        <v>8.5</v>
      </c>
      <c r="C1281" s="26">
        <v>0.8</v>
      </c>
      <c r="D1281" s="26">
        <v>2.5</v>
      </c>
      <c r="E1281" s="26">
        <v>105</v>
      </c>
      <c r="F1281" s="26">
        <f t="shared" si="24"/>
        <v>2.3809523809523808E-2</v>
      </c>
    </row>
    <row r="1282" spans="1:6" x14ac:dyDescent="0.25">
      <c r="A1282" s="26">
        <v>15</v>
      </c>
      <c r="B1282" s="26">
        <v>8.5</v>
      </c>
      <c r="C1282" s="26">
        <v>0.8</v>
      </c>
      <c r="D1282" s="26">
        <v>3</v>
      </c>
      <c r="E1282" s="26">
        <v>126</v>
      </c>
      <c r="F1282" s="26">
        <f t="shared" si="24"/>
        <v>2.3809523809523808E-2</v>
      </c>
    </row>
    <row r="1283" spans="1:6" x14ac:dyDescent="0.25">
      <c r="A1283" s="26">
        <v>15</v>
      </c>
      <c r="B1283" s="26">
        <v>8.5</v>
      </c>
      <c r="C1283" s="26">
        <v>1</v>
      </c>
      <c r="D1283" s="26">
        <v>0.5</v>
      </c>
      <c r="E1283" s="26">
        <v>22</v>
      </c>
      <c r="F1283" s="26">
        <f t="shared" si="24"/>
        <v>2.2727272727272728E-2</v>
      </c>
    </row>
    <row r="1284" spans="1:6" x14ac:dyDescent="0.25">
      <c r="A1284" s="26">
        <v>15</v>
      </c>
      <c r="B1284" s="26">
        <v>8.5</v>
      </c>
      <c r="C1284" s="26">
        <v>1</v>
      </c>
      <c r="D1284" s="26">
        <v>1</v>
      </c>
      <c r="E1284" s="26">
        <v>43</v>
      </c>
      <c r="F1284" s="26">
        <f t="shared" si="24"/>
        <v>2.3255813953488372E-2</v>
      </c>
    </row>
    <row r="1285" spans="1:6" x14ac:dyDescent="0.25">
      <c r="A1285" s="26">
        <v>15</v>
      </c>
      <c r="B1285" s="26">
        <v>8.5</v>
      </c>
      <c r="C1285" s="26">
        <v>1</v>
      </c>
      <c r="D1285" s="26">
        <v>1.5</v>
      </c>
      <c r="E1285" s="26">
        <v>65</v>
      </c>
      <c r="F1285" s="26">
        <f t="shared" ref="F1285:F1348" si="25">D1285/E1285</f>
        <v>2.3076923076923078E-2</v>
      </c>
    </row>
    <row r="1286" spans="1:6" x14ac:dyDescent="0.25">
      <c r="A1286" s="26">
        <v>15</v>
      </c>
      <c r="B1286" s="26">
        <v>8.5</v>
      </c>
      <c r="C1286" s="26">
        <v>1</v>
      </c>
      <c r="D1286" s="26">
        <v>2</v>
      </c>
      <c r="E1286" s="26">
        <v>87</v>
      </c>
      <c r="F1286" s="26">
        <f t="shared" si="25"/>
        <v>2.2988505747126436E-2</v>
      </c>
    </row>
    <row r="1287" spans="1:6" x14ac:dyDescent="0.25">
      <c r="A1287" s="26">
        <v>15</v>
      </c>
      <c r="B1287" s="26">
        <v>8.5</v>
      </c>
      <c r="C1287" s="26">
        <v>1</v>
      </c>
      <c r="D1287" s="26">
        <v>2.5</v>
      </c>
      <c r="E1287" s="26">
        <v>108</v>
      </c>
      <c r="F1287" s="26">
        <f t="shared" si="25"/>
        <v>2.3148148148148147E-2</v>
      </c>
    </row>
    <row r="1288" spans="1:6" x14ac:dyDescent="0.25">
      <c r="A1288" s="26">
        <v>15</v>
      </c>
      <c r="B1288" s="26">
        <v>8.5</v>
      </c>
      <c r="C1288" s="26">
        <v>1</v>
      </c>
      <c r="D1288" s="26">
        <v>3</v>
      </c>
      <c r="E1288" s="26">
        <v>130</v>
      </c>
      <c r="F1288" s="26">
        <f t="shared" si="25"/>
        <v>2.3076923076923078E-2</v>
      </c>
    </row>
    <row r="1289" spans="1:6" x14ac:dyDescent="0.25">
      <c r="A1289" s="26">
        <v>15</v>
      </c>
      <c r="B1289" s="26">
        <v>8.5</v>
      </c>
      <c r="C1289" s="26">
        <v>1.2</v>
      </c>
      <c r="D1289" s="26">
        <v>0.5</v>
      </c>
      <c r="E1289" s="26">
        <v>22</v>
      </c>
      <c r="F1289" s="26">
        <f t="shared" si="25"/>
        <v>2.2727272727272728E-2</v>
      </c>
    </row>
    <row r="1290" spans="1:6" x14ac:dyDescent="0.25">
      <c r="A1290" s="26">
        <v>15</v>
      </c>
      <c r="B1290" s="26">
        <v>8.5</v>
      </c>
      <c r="C1290" s="26">
        <v>1.2</v>
      </c>
      <c r="D1290" s="26">
        <v>1</v>
      </c>
      <c r="E1290" s="26">
        <v>45</v>
      </c>
      <c r="F1290" s="26">
        <f t="shared" si="25"/>
        <v>2.2222222222222223E-2</v>
      </c>
    </row>
    <row r="1291" spans="1:6" x14ac:dyDescent="0.25">
      <c r="A1291" s="26">
        <v>15</v>
      </c>
      <c r="B1291" s="26">
        <v>8.5</v>
      </c>
      <c r="C1291" s="26">
        <v>1.2</v>
      </c>
      <c r="D1291" s="26">
        <v>1.5</v>
      </c>
      <c r="E1291" s="26">
        <v>67</v>
      </c>
      <c r="F1291" s="26">
        <f t="shared" si="25"/>
        <v>2.2388059701492536E-2</v>
      </c>
    </row>
    <row r="1292" spans="1:6" x14ac:dyDescent="0.25">
      <c r="A1292" s="26">
        <v>15</v>
      </c>
      <c r="B1292" s="26">
        <v>8.5</v>
      </c>
      <c r="C1292" s="26">
        <v>1.2</v>
      </c>
      <c r="D1292" s="26">
        <v>2</v>
      </c>
      <c r="E1292" s="26">
        <v>89</v>
      </c>
      <c r="F1292" s="26">
        <f t="shared" si="25"/>
        <v>2.247191011235955E-2</v>
      </c>
    </row>
    <row r="1293" spans="1:6" x14ac:dyDescent="0.25">
      <c r="A1293" s="26">
        <v>15</v>
      </c>
      <c r="B1293" s="26">
        <v>8.5</v>
      </c>
      <c r="C1293" s="26">
        <v>1.2</v>
      </c>
      <c r="D1293" s="26">
        <v>2.5</v>
      </c>
      <c r="E1293" s="26">
        <v>112</v>
      </c>
      <c r="F1293" s="26">
        <f t="shared" si="25"/>
        <v>2.2321428571428572E-2</v>
      </c>
    </row>
    <row r="1294" spans="1:6" x14ac:dyDescent="0.25">
      <c r="A1294" s="26">
        <v>15</v>
      </c>
      <c r="B1294" s="26">
        <v>8.5</v>
      </c>
      <c r="C1294" s="26">
        <v>1.2</v>
      </c>
      <c r="D1294" s="26">
        <v>3</v>
      </c>
      <c r="E1294" s="26">
        <v>134</v>
      </c>
      <c r="F1294" s="26">
        <f t="shared" si="25"/>
        <v>2.2388059701492536E-2</v>
      </c>
    </row>
    <row r="1295" spans="1:6" x14ac:dyDescent="0.25">
      <c r="A1295" s="26">
        <v>15</v>
      </c>
      <c r="B1295" s="26">
        <v>8.5</v>
      </c>
      <c r="C1295" s="26">
        <v>1.4</v>
      </c>
      <c r="D1295" s="26">
        <v>0.5</v>
      </c>
      <c r="E1295" s="26">
        <v>23</v>
      </c>
      <c r="F1295" s="26">
        <f t="shared" si="25"/>
        <v>2.1739130434782608E-2</v>
      </c>
    </row>
    <row r="1296" spans="1:6" x14ac:dyDescent="0.25">
      <c r="A1296" s="26">
        <v>15</v>
      </c>
      <c r="B1296" s="26">
        <v>8.5</v>
      </c>
      <c r="C1296" s="26">
        <v>1.4</v>
      </c>
      <c r="D1296" s="26">
        <v>1</v>
      </c>
      <c r="E1296" s="26">
        <v>46</v>
      </c>
      <c r="F1296" s="26">
        <f t="shared" si="25"/>
        <v>2.1739130434782608E-2</v>
      </c>
    </row>
    <row r="1297" spans="1:6" x14ac:dyDescent="0.25">
      <c r="A1297" s="26">
        <v>15</v>
      </c>
      <c r="B1297" s="26">
        <v>8.5</v>
      </c>
      <c r="C1297" s="26">
        <v>1.4</v>
      </c>
      <c r="D1297" s="26">
        <v>1.5</v>
      </c>
      <c r="E1297" s="26">
        <v>69</v>
      </c>
      <c r="F1297" s="26">
        <f t="shared" si="25"/>
        <v>2.1739130434782608E-2</v>
      </c>
    </row>
    <row r="1298" spans="1:6" x14ac:dyDescent="0.25">
      <c r="A1298" s="26">
        <v>15</v>
      </c>
      <c r="B1298" s="26">
        <v>8.5</v>
      </c>
      <c r="C1298" s="26">
        <v>1.4</v>
      </c>
      <c r="D1298" s="26">
        <v>2</v>
      </c>
      <c r="E1298" s="26">
        <v>91</v>
      </c>
      <c r="F1298" s="26">
        <f t="shared" si="25"/>
        <v>2.197802197802198E-2</v>
      </c>
    </row>
    <row r="1299" spans="1:6" x14ac:dyDescent="0.25">
      <c r="A1299" s="26">
        <v>15</v>
      </c>
      <c r="B1299" s="26">
        <v>8.5</v>
      </c>
      <c r="C1299" s="26">
        <v>1.4</v>
      </c>
      <c r="D1299" s="26">
        <v>2.5</v>
      </c>
      <c r="E1299" s="26">
        <v>114</v>
      </c>
      <c r="F1299" s="26">
        <f t="shared" si="25"/>
        <v>2.1929824561403508E-2</v>
      </c>
    </row>
    <row r="1300" spans="1:6" x14ac:dyDescent="0.25">
      <c r="A1300" s="26">
        <v>15</v>
      </c>
      <c r="B1300" s="26">
        <v>8.5</v>
      </c>
      <c r="C1300" s="26">
        <v>1.4</v>
      </c>
      <c r="D1300" s="26">
        <v>3</v>
      </c>
      <c r="E1300" s="26">
        <v>137</v>
      </c>
      <c r="F1300" s="26">
        <f t="shared" si="25"/>
        <v>2.1897810218978103E-2</v>
      </c>
    </row>
    <row r="1301" spans="1:6" x14ac:dyDescent="0.25">
      <c r="A1301" s="26">
        <v>15</v>
      </c>
      <c r="B1301" s="26">
        <v>8.5</v>
      </c>
      <c r="C1301" s="26">
        <v>1.6</v>
      </c>
      <c r="D1301" s="26">
        <v>0.5</v>
      </c>
      <c r="E1301" s="26">
        <v>24</v>
      </c>
      <c r="F1301" s="26">
        <f t="shared" si="25"/>
        <v>2.0833333333333332E-2</v>
      </c>
    </row>
    <row r="1302" spans="1:6" x14ac:dyDescent="0.25">
      <c r="A1302" s="26">
        <v>15</v>
      </c>
      <c r="B1302" s="26">
        <v>8.5</v>
      </c>
      <c r="C1302" s="26">
        <v>1.6</v>
      </c>
      <c r="D1302" s="26">
        <v>1</v>
      </c>
      <c r="E1302" s="26">
        <v>47</v>
      </c>
      <c r="F1302" s="26">
        <f t="shared" si="25"/>
        <v>2.1276595744680851E-2</v>
      </c>
    </row>
    <row r="1303" spans="1:6" x14ac:dyDescent="0.25">
      <c r="A1303" s="26">
        <v>15</v>
      </c>
      <c r="B1303" s="26">
        <v>8.5</v>
      </c>
      <c r="C1303" s="26">
        <v>1.6</v>
      </c>
      <c r="D1303" s="26">
        <v>1.5</v>
      </c>
      <c r="E1303" s="26">
        <v>71</v>
      </c>
      <c r="F1303" s="26">
        <f t="shared" si="25"/>
        <v>2.1126760563380281E-2</v>
      </c>
    </row>
    <row r="1304" spans="1:6" x14ac:dyDescent="0.25">
      <c r="A1304" s="26">
        <v>15</v>
      </c>
      <c r="B1304" s="26">
        <v>8.5</v>
      </c>
      <c r="C1304" s="26">
        <v>1.6</v>
      </c>
      <c r="D1304" s="26">
        <v>2</v>
      </c>
      <c r="E1304" s="26">
        <v>94</v>
      </c>
      <c r="F1304" s="26">
        <f t="shared" si="25"/>
        <v>2.1276595744680851E-2</v>
      </c>
    </row>
    <row r="1305" spans="1:6" x14ac:dyDescent="0.25">
      <c r="A1305" s="26">
        <v>15</v>
      </c>
      <c r="B1305" s="26">
        <v>8.5</v>
      </c>
      <c r="C1305" s="26">
        <v>1.6</v>
      </c>
      <c r="D1305" s="26">
        <v>2.5</v>
      </c>
      <c r="E1305" s="26">
        <v>118</v>
      </c>
      <c r="F1305" s="26">
        <f t="shared" si="25"/>
        <v>2.1186440677966101E-2</v>
      </c>
    </row>
    <row r="1306" spans="1:6" x14ac:dyDescent="0.25">
      <c r="A1306" s="26">
        <v>15</v>
      </c>
      <c r="B1306" s="26">
        <v>8.5</v>
      </c>
      <c r="C1306" s="26">
        <v>1.6</v>
      </c>
      <c r="D1306" s="26">
        <v>3</v>
      </c>
      <c r="E1306" s="26">
        <v>141</v>
      </c>
      <c r="F1306" s="26">
        <f t="shared" si="25"/>
        <v>2.1276595744680851E-2</v>
      </c>
    </row>
    <row r="1307" spans="1:6" x14ac:dyDescent="0.25">
      <c r="A1307" s="26">
        <v>15</v>
      </c>
      <c r="B1307" s="26">
        <v>8.5</v>
      </c>
      <c r="C1307" s="26">
        <v>1.8</v>
      </c>
      <c r="D1307" s="26">
        <v>0.5</v>
      </c>
      <c r="E1307" s="26">
        <v>24</v>
      </c>
      <c r="F1307" s="26">
        <f t="shared" si="25"/>
        <v>2.0833333333333332E-2</v>
      </c>
    </row>
    <row r="1308" spans="1:6" x14ac:dyDescent="0.25">
      <c r="A1308" s="26">
        <v>15</v>
      </c>
      <c r="B1308" s="26">
        <v>8.5</v>
      </c>
      <c r="C1308" s="26">
        <v>1.8</v>
      </c>
      <c r="D1308" s="26">
        <v>1</v>
      </c>
      <c r="E1308" s="26">
        <v>48</v>
      </c>
      <c r="F1308" s="26">
        <f t="shared" si="25"/>
        <v>2.0833333333333332E-2</v>
      </c>
    </row>
    <row r="1309" spans="1:6" x14ac:dyDescent="0.25">
      <c r="A1309" s="26">
        <v>15</v>
      </c>
      <c r="B1309" s="26">
        <v>8.5</v>
      </c>
      <c r="C1309" s="26">
        <v>1.8</v>
      </c>
      <c r="D1309" s="26">
        <v>1.5</v>
      </c>
      <c r="E1309" s="26">
        <v>72</v>
      </c>
      <c r="F1309" s="26">
        <f t="shared" si="25"/>
        <v>2.0833333333333332E-2</v>
      </c>
    </row>
    <row r="1310" spans="1:6" x14ac:dyDescent="0.25">
      <c r="A1310" s="26">
        <v>15</v>
      </c>
      <c r="B1310" s="26">
        <v>8.5</v>
      </c>
      <c r="C1310" s="26">
        <v>1.8</v>
      </c>
      <c r="D1310" s="26">
        <v>2</v>
      </c>
      <c r="E1310" s="26">
        <v>93</v>
      </c>
      <c r="F1310" s="26">
        <f t="shared" si="25"/>
        <v>2.1505376344086023E-2</v>
      </c>
    </row>
    <row r="1311" spans="1:6" x14ac:dyDescent="0.25">
      <c r="A1311" s="26">
        <v>15</v>
      </c>
      <c r="B1311" s="26">
        <v>8.5</v>
      </c>
      <c r="C1311" s="26">
        <v>1.8</v>
      </c>
      <c r="D1311" s="26">
        <v>2.5</v>
      </c>
      <c r="E1311" s="26">
        <v>120</v>
      </c>
      <c r="F1311" s="26">
        <f t="shared" si="25"/>
        <v>2.0833333333333332E-2</v>
      </c>
    </row>
    <row r="1312" spans="1:6" x14ac:dyDescent="0.25">
      <c r="A1312" s="26">
        <v>15</v>
      </c>
      <c r="B1312" s="26">
        <v>8.5</v>
      </c>
      <c r="C1312" s="26">
        <v>1.8</v>
      </c>
      <c r="D1312" s="26">
        <v>3</v>
      </c>
      <c r="E1312" s="26">
        <v>144</v>
      </c>
      <c r="F1312" s="26">
        <f t="shared" si="25"/>
        <v>2.0833333333333332E-2</v>
      </c>
    </row>
    <row r="1313" spans="1:6" x14ac:dyDescent="0.25">
      <c r="A1313" s="26">
        <v>15</v>
      </c>
      <c r="B1313" s="26">
        <v>8.5</v>
      </c>
      <c r="C1313" s="26">
        <v>2</v>
      </c>
      <c r="D1313" s="26">
        <v>0.5</v>
      </c>
      <c r="E1313" s="26">
        <v>25</v>
      </c>
      <c r="F1313" s="26">
        <f t="shared" si="25"/>
        <v>0.02</v>
      </c>
    </row>
    <row r="1314" spans="1:6" x14ac:dyDescent="0.25">
      <c r="A1314" s="26">
        <v>15</v>
      </c>
      <c r="B1314" s="26">
        <v>8.5</v>
      </c>
      <c r="C1314" s="26">
        <v>2</v>
      </c>
      <c r="D1314" s="26">
        <v>1</v>
      </c>
      <c r="E1314" s="26">
        <v>49</v>
      </c>
      <c r="F1314" s="26">
        <f t="shared" si="25"/>
        <v>2.0408163265306121E-2</v>
      </c>
    </row>
    <row r="1315" spans="1:6" x14ac:dyDescent="0.25">
      <c r="A1315" s="26">
        <v>15</v>
      </c>
      <c r="B1315" s="26">
        <v>8.5</v>
      </c>
      <c r="C1315" s="26">
        <v>2</v>
      </c>
      <c r="D1315" s="26">
        <v>1.5</v>
      </c>
      <c r="E1315" s="26">
        <v>74</v>
      </c>
      <c r="F1315" s="26">
        <f t="shared" si="25"/>
        <v>2.0270270270270271E-2</v>
      </c>
    </row>
    <row r="1316" spans="1:6" x14ac:dyDescent="0.25">
      <c r="A1316" s="26">
        <v>15</v>
      </c>
      <c r="B1316" s="26">
        <v>8.5</v>
      </c>
      <c r="C1316" s="26">
        <v>2</v>
      </c>
      <c r="D1316" s="26">
        <v>2</v>
      </c>
      <c r="E1316" s="26">
        <v>98</v>
      </c>
      <c r="F1316" s="26">
        <f t="shared" si="25"/>
        <v>2.0408163265306121E-2</v>
      </c>
    </row>
    <row r="1317" spans="1:6" x14ac:dyDescent="0.25">
      <c r="A1317" s="26">
        <v>15</v>
      </c>
      <c r="B1317" s="26">
        <v>8.5</v>
      </c>
      <c r="C1317" s="26">
        <v>2</v>
      </c>
      <c r="D1317" s="26">
        <v>2.5</v>
      </c>
      <c r="E1317" s="26">
        <v>123</v>
      </c>
      <c r="F1317" s="26">
        <f t="shared" si="25"/>
        <v>2.032520325203252E-2</v>
      </c>
    </row>
    <row r="1318" spans="1:6" x14ac:dyDescent="0.25">
      <c r="A1318" s="26">
        <v>15</v>
      </c>
      <c r="B1318" s="26">
        <v>8.5</v>
      </c>
      <c r="C1318" s="26">
        <v>2</v>
      </c>
      <c r="D1318" s="26">
        <v>3</v>
      </c>
      <c r="E1318" s="26">
        <v>147</v>
      </c>
      <c r="F1318" s="26">
        <f t="shared" si="25"/>
        <v>2.0408163265306121E-2</v>
      </c>
    </row>
    <row r="1319" spans="1:6" x14ac:dyDescent="0.25">
      <c r="A1319" s="26">
        <v>15</v>
      </c>
      <c r="B1319" s="26">
        <v>8.5</v>
      </c>
      <c r="C1319" s="26">
        <v>2.2000000000000002</v>
      </c>
      <c r="D1319" s="26">
        <v>0.5</v>
      </c>
      <c r="E1319" s="26">
        <v>25</v>
      </c>
      <c r="F1319" s="26">
        <f t="shared" si="25"/>
        <v>0.02</v>
      </c>
    </row>
    <row r="1320" spans="1:6" x14ac:dyDescent="0.25">
      <c r="A1320" s="26">
        <v>15</v>
      </c>
      <c r="B1320" s="26">
        <v>8.5</v>
      </c>
      <c r="C1320" s="26">
        <v>2.2000000000000002</v>
      </c>
      <c r="D1320" s="26">
        <v>1</v>
      </c>
      <c r="E1320" s="26">
        <v>50</v>
      </c>
      <c r="F1320" s="26">
        <f t="shared" si="25"/>
        <v>0.02</v>
      </c>
    </row>
    <row r="1321" spans="1:6" x14ac:dyDescent="0.25">
      <c r="A1321" s="26">
        <v>15</v>
      </c>
      <c r="B1321" s="26">
        <v>8.5</v>
      </c>
      <c r="C1321" s="26">
        <v>2.2000000000000002</v>
      </c>
      <c r="D1321" s="26">
        <v>1.5</v>
      </c>
      <c r="E1321" s="26">
        <v>75</v>
      </c>
      <c r="F1321" s="26">
        <f t="shared" si="25"/>
        <v>0.02</v>
      </c>
    </row>
    <row r="1322" spans="1:6" x14ac:dyDescent="0.25">
      <c r="A1322" s="26">
        <v>15</v>
      </c>
      <c r="B1322" s="26">
        <v>8.5</v>
      </c>
      <c r="C1322" s="26">
        <v>2.2000000000000002</v>
      </c>
      <c r="D1322" s="26">
        <v>2</v>
      </c>
      <c r="E1322" s="26">
        <v>100</v>
      </c>
      <c r="F1322" s="26">
        <f t="shared" si="25"/>
        <v>0.02</v>
      </c>
    </row>
    <row r="1323" spans="1:6" x14ac:dyDescent="0.25">
      <c r="A1323" s="26">
        <v>15</v>
      </c>
      <c r="B1323" s="26">
        <v>8.5</v>
      </c>
      <c r="C1323" s="26">
        <v>2.2000000000000002</v>
      </c>
      <c r="D1323" s="26">
        <v>2.5</v>
      </c>
      <c r="E1323" s="26">
        <v>125</v>
      </c>
      <c r="F1323" s="26">
        <f t="shared" si="25"/>
        <v>0.02</v>
      </c>
    </row>
    <row r="1324" spans="1:6" x14ac:dyDescent="0.25">
      <c r="A1324" s="26">
        <v>15</v>
      </c>
      <c r="B1324" s="26">
        <v>8.5</v>
      </c>
      <c r="C1324" s="26">
        <v>2.2000000000000002</v>
      </c>
      <c r="D1324" s="26">
        <v>3</v>
      </c>
      <c r="E1324" s="26">
        <v>150</v>
      </c>
      <c r="F1324" s="26">
        <f t="shared" si="25"/>
        <v>0.02</v>
      </c>
    </row>
    <row r="1325" spans="1:6" x14ac:dyDescent="0.25">
      <c r="A1325" s="26">
        <v>15</v>
      </c>
      <c r="B1325" s="26">
        <v>8.5</v>
      </c>
      <c r="C1325" s="26">
        <v>2.4</v>
      </c>
      <c r="D1325" s="26">
        <v>0.5</v>
      </c>
      <c r="E1325" s="26">
        <v>26</v>
      </c>
      <c r="F1325" s="26">
        <f t="shared" si="25"/>
        <v>1.9230769230769232E-2</v>
      </c>
    </row>
    <row r="1326" spans="1:6" x14ac:dyDescent="0.25">
      <c r="A1326" s="26">
        <v>15</v>
      </c>
      <c r="B1326" s="26">
        <v>8.5</v>
      </c>
      <c r="C1326" s="26">
        <v>2.4</v>
      </c>
      <c r="D1326" s="26">
        <v>1</v>
      </c>
      <c r="E1326" s="26">
        <v>51</v>
      </c>
      <c r="F1326" s="26">
        <f t="shared" si="25"/>
        <v>1.9607843137254902E-2</v>
      </c>
    </row>
    <row r="1327" spans="1:6" x14ac:dyDescent="0.25">
      <c r="A1327" s="26">
        <v>15</v>
      </c>
      <c r="B1327" s="26">
        <v>8.5</v>
      </c>
      <c r="C1327" s="26">
        <v>2.4</v>
      </c>
      <c r="D1327" s="26">
        <v>1.5</v>
      </c>
      <c r="E1327" s="26">
        <v>77</v>
      </c>
      <c r="F1327" s="26">
        <f t="shared" si="25"/>
        <v>1.948051948051948E-2</v>
      </c>
    </row>
    <row r="1328" spans="1:6" x14ac:dyDescent="0.25">
      <c r="A1328" s="26">
        <v>15</v>
      </c>
      <c r="B1328" s="26">
        <v>8.5</v>
      </c>
      <c r="C1328" s="26">
        <v>2.4</v>
      </c>
      <c r="D1328" s="26">
        <v>2</v>
      </c>
      <c r="E1328" s="26">
        <v>102</v>
      </c>
      <c r="F1328" s="26">
        <f t="shared" si="25"/>
        <v>1.9607843137254902E-2</v>
      </c>
    </row>
    <row r="1329" spans="1:7" x14ac:dyDescent="0.25">
      <c r="A1329" s="26">
        <v>15</v>
      </c>
      <c r="B1329" s="26">
        <v>8.5</v>
      </c>
      <c r="C1329" s="26">
        <v>2.4</v>
      </c>
      <c r="D1329" s="26">
        <v>2.5</v>
      </c>
      <c r="E1329" s="26">
        <v>128</v>
      </c>
      <c r="F1329" s="26">
        <f t="shared" si="25"/>
        <v>1.953125E-2</v>
      </c>
    </row>
    <row r="1330" spans="1:7" x14ac:dyDescent="0.25">
      <c r="A1330" s="26">
        <v>15</v>
      </c>
      <c r="B1330" s="26">
        <v>8.5</v>
      </c>
      <c r="C1330" s="26">
        <v>2.4</v>
      </c>
      <c r="D1330" s="26">
        <v>3</v>
      </c>
      <c r="E1330" s="26">
        <v>153</v>
      </c>
      <c r="F1330" s="26">
        <f t="shared" si="25"/>
        <v>1.9607843137254902E-2</v>
      </c>
    </row>
    <row r="1331" spans="1:7" x14ac:dyDescent="0.25">
      <c r="A1331" s="26">
        <v>15</v>
      </c>
      <c r="B1331" s="26">
        <v>8.5</v>
      </c>
      <c r="C1331" s="26">
        <v>2.6</v>
      </c>
      <c r="D1331" s="26">
        <v>0.5</v>
      </c>
      <c r="E1331" s="26">
        <v>26</v>
      </c>
      <c r="F1331" s="26">
        <f t="shared" si="25"/>
        <v>1.9230769230769232E-2</v>
      </c>
    </row>
    <row r="1332" spans="1:7" x14ac:dyDescent="0.25">
      <c r="A1332" s="26">
        <v>15</v>
      </c>
      <c r="B1332" s="26">
        <v>8.5</v>
      </c>
      <c r="C1332" s="26">
        <v>2.6</v>
      </c>
      <c r="D1332" s="26">
        <v>1</v>
      </c>
      <c r="E1332" s="26">
        <v>52</v>
      </c>
      <c r="F1332" s="26">
        <f t="shared" si="25"/>
        <v>1.9230769230769232E-2</v>
      </c>
    </row>
    <row r="1333" spans="1:7" x14ac:dyDescent="0.25">
      <c r="A1333" s="26">
        <v>15</v>
      </c>
      <c r="B1333" s="26">
        <v>8.5</v>
      </c>
      <c r="C1333" s="26">
        <v>2.6</v>
      </c>
      <c r="D1333" s="26">
        <v>1.5</v>
      </c>
      <c r="E1333" s="26">
        <v>78</v>
      </c>
      <c r="F1333" s="26">
        <f t="shared" si="25"/>
        <v>1.9230769230769232E-2</v>
      </c>
    </row>
    <row r="1334" spans="1:7" x14ac:dyDescent="0.25">
      <c r="A1334" s="26">
        <v>15</v>
      </c>
      <c r="B1334" s="26">
        <v>8.5</v>
      </c>
      <c r="C1334" s="26">
        <v>2.6</v>
      </c>
      <c r="D1334" s="26">
        <v>2</v>
      </c>
      <c r="E1334" s="26">
        <v>104</v>
      </c>
      <c r="F1334" s="26">
        <f t="shared" si="25"/>
        <v>1.9230769230769232E-2</v>
      </c>
    </row>
    <row r="1335" spans="1:7" x14ac:dyDescent="0.25">
      <c r="A1335" s="26">
        <v>15</v>
      </c>
      <c r="B1335" s="26">
        <v>8.5</v>
      </c>
      <c r="C1335" s="26">
        <v>2.6</v>
      </c>
      <c r="D1335" s="26">
        <v>2.5</v>
      </c>
      <c r="E1335" s="26">
        <v>130</v>
      </c>
      <c r="F1335" s="26">
        <f t="shared" si="25"/>
        <v>1.9230769230769232E-2</v>
      </c>
    </row>
    <row r="1336" spans="1:7" x14ac:dyDescent="0.25">
      <c r="A1336" s="26">
        <v>15</v>
      </c>
      <c r="B1336" s="26">
        <v>8.5</v>
      </c>
      <c r="C1336" s="26">
        <v>2.6</v>
      </c>
      <c r="D1336" s="26">
        <v>3</v>
      </c>
      <c r="E1336" s="26">
        <v>156</v>
      </c>
      <c r="F1336" s="26">
        <f t="shared" si="25"/>
        <v>1.9230769230769232E-2</v>
      </c>
    </row>
    <row r="1337" spans="1:7" x14ac:dyDescent="0.25">
      <c r="A1337" s="26">
        <v>15</v>
      </c>
      <c r="B1337" s="26">
        <v>8.5</v>
      </c>
      <c r="C1337" s="26">
        <v>2.8</v>
      </c>
      <c r="D1337" s="26">
        <v>0.5</v>
      </c>
      <c r="E1337" s="26">
        <v>27</v>
      </c>
      <c r="F1337" s="26">
        <f t="shared" si="25"/>
        <v>1.8518518518518517E-2</v>
      </c>
    </row>
    <row r="1338" spans="1:7" x14ac:dyDescent="0.25">
      <c r="A1338" s="26">
        <v>15</v>
      </c>
      <c r="B1338" s="26">
        <v>8.5</v>
      </c>
      <c r="C1338" s="26">
        <v>2.8</v>
      </c>
      <c r="D1338" s="26">
        <v>1</v>
      </c>
      <c r="E1338" s="26">
        <v>53</v>
      </c>
      <c r="F1338" s="26">
        <f t="shared" si="25"/>
        <v>1.8867924528301886E-2</v>
      </c>
    </row>
    <row r="1339" spans="1:7" x14ac:dyDescent="0.25">
      <c r="A1339" s="26">
        <v>15</v>
      </c>
      <c r="B1339" s="26">
        <v>8.5</v>
      </c>
      <c r="C1339" s="26">
        <v>2.8</v>
      </c>
      <c r="D1339" s="26">
        <v>1.5</v>
      </c>
      <c r="E1339" s="26">
        <v>80</v>
      </c>
      <c r="F1339" s="26">
        <f t="shared" si="25"/>
        <v>1.8749999999999999E-2</v>
      </c>
      <c r="G1339" s="30"/>
    </row>
    <row r="1340" spans="1:7" x14ac:dyDescent="0.25">
      <c r="A1340" s="26">
        <v>15</v>
      </c>
      <c r="B1340" s="26">
        <v>8.5</v>
      </c>
      <c r="C1340" s="26">
        <v>2.8</v>
      </c>
      <c r="D1340" s="26">
        <v>2</v>
      </c>
      <c r="E1340" s="26">
        <v>106</v>
      </c>
      <c r="F1340" s="26">
        <f t="shared" si="25"/>
        <v>1.8867924528301886E-2</v>
      </c>
      <c r="G1340" s="30"/>
    </row>
    <row r="1341" spans="1:7" x14ac:dyDescent="0.25">
      <c r="A1341" s="26">
        <v>15</v>
      </c>
      <c r="B1341" s="26">
        <v>8.5</v>
      </c>
      <c r="C1341" s="26">
        <v>2.8</v>
      </c>
      <c r="D1341" s="26">
        <v>2.5</v>
      </c>
      <c r="E1341" s="26">
        <v>133</v>
      </c>
      <c r="F1341" s="26">
        <f t="shared" si="25"/>
        <v>1.8796992481203006E-2</v>
      </c>
      <c r="G1341" s="30"/>
    </row>
    <row r="1342" spans="1:7" x14ac:dyDescent="0.25">
      <c r="A1342" s="26">
        <v>15</v>
      </c>
      <c r="B1342" s="26">
        <v>8.5</v>
      </c>
      <c r="C1342" s="26">
        <v>2.8</v>
      </c>
      <c r="D1342" s="26">
        <v>3</v>
      </c>
      <c r="E1342" s="26">
        <v>159</v>
      </c>
      <c r="F1342" s="26">
        <f t="shared" si="25"/>
        <v>1.8867924528301886E-2</v>
      </c>
      <c r="G1342" s="30"/>
    </row>
    <row r="1343" spans="1:7" x14ac:dyDescent="0.25">
      <c r="A1343" s="26">
        <v>15</v>
      </c>
      <c r="B1343" s="26">
        <v>8.5</v>
      </c>
      <c r="C1343" s="26">
        <v>3</v>
      </c>
      <c r="D1343" s="26">
        <v>0.5</v>
      </c>
      <c r="E1343" s="26">
        <v>27</v>
      </c>
      <c r="F1343" s="26">
        <f t="shared" si="25"/>
        <v>1.8518518518518517E-2</v>
      </c>
      <c r="G1343" s="30"/>
    </row>
    <row r="1344" spans="1:7" x14ac:dyDescent="0.25">
      <c r="A1344" s="26">
        <v>15</v>
      </c>
      <c r="B1344" s="26">
        <v>8.5</v>
      </c>
      <c r="C1344" s="26">
        <v>3</v>
      </c>
      <c r="D1344" s="26">
        <v>1</v>
      </c>
      <c r="E1344" s="26">
        <v>54</v>
      </c>
      <c r="F1344" s="26">
        <f t="shared" si="25"/>
        <v>1.8518518518518517E-2</v>
      </c>
      <c r="G1344" s="30"/>
    </row>
    <row r="1345" spans="1:7" x14ac:dyDescent="0.25">
      <c r="A1345" s="26">
        <v>15</v>
      </c>
      <c r="B1345" s="26">
        <v>8.5</v>
      </c>
      <c r="C1345" s="26">
        <v>3</v>
      </c>
      <c r="D1345" s="26">
        <v>1.5</v>
      </c>
      <c r="E1345" s="26">
        <v>81</v>
      </c>
      <c r="F1345" s="26">
        <f t="shared" si="25"/>
        <v>1.8518518518518517E-2</v>
      </c>
      <c r="G1345" s="30"/>
    </row>
    <row r="1346" spans="1:7" x14ac:dyDescent="0.25">
      <c r="A1346" s="26">
        <v>15</v>
      </c>
      <c r="B1346" s="26">
        <v>8.5</v>
      </c>
      <c r="C1346" s="26">
        <v>3</v>
      </c>
      <c r="D1346" s="26">
        <v>2</v>
      </c>
      <c r="E1346" s="26">
        <v>108</v>
      </c>
      <c r="F1346" s="26">
        <f t="shared" si="25"/>
        <v>1.8518518518518517E-2</v>
      </c>
      <c r="G1346" s="30"/>
    </row>
    <row r="1347" spans="1:7" x14ac:dyDescent="0.25">
      <c r="A1347" s="26">
        <v>15</v>
      </c>
      <c r="B1347" s="26">
        <v>8.5</v>
      </c>
      <c r="C1347" s="26">
        <v>3</v>
      </c>
      <c r="D1347" s="26">
        <v>2.5</v>
      </c>
      <c r="E1347" s="26">
        <v>135</v>
      </c>
      <c r="F1347" s="26">
        <f t="shared" si="25"/>
        <v>1.8518518518518517E-2</v>
      </c>
      <c r="G1347" s="30"/>
    </row>
    <row r="1348" spans="1:7" x14ac:dyDescent="0.25">
      <c r="A1348" s="73">
        <v>15</v>
      </c>
      <c r="B1348" s="26">
        <v>8.5</v>
      </c>
      <c r="C1348" s="73">
        <v>3</v>
      </c>
      <c r="D1348" s="73">
        <v>3</v>
      </c>
      <c r="E1348" s="26">
        <v>162</v>
      </c>
      <c r="F1348" s="26">
        <f t="shared" si="25"/>
        <v>1.8518518518518517E-2</v>
      </c>
      <c r="G1348" s="30"/>
    </row>
    <row r="1349" spans="1:7" x14ac:dyDescent="0.25">
      <c r="A1349" s="26">
        <v>20</v>
      </c>
      <c r="B1349" s="26">
        <v>7</v>
      </c>
      <c r="C1349" s="26">
        <v>0.4</v>
      </c>
      <c r="D1349" s="26">
        <v>0.5</v>
      </c>
      <c r="E1349" s="26">
        <v>9</v>
      </c>
      <c r="F1349" s="26">
        <f t="shared" ref="F1349:F1412" si="26">D1349/E1349</f>
        <v>5.5555555555555552E-2</v>
      </c>
      <c r="G1349" s="30"/>
    </row>
    <row r="1350" spans="1:7" x14ac:dyDescent="0.25">
      <c r="A1350" s="26">
        <v>20</v>
      </c>
      <c r="B1350" s="26">
        <v>7</v>
      </c>
      <c r="C1350" s="26">
        <v>0.4</v>
      </c>
      <c r="D1350" s="26">
        <v>1</v>
      </c>
      <c r="E1350" s="26">
        <v>17</v>
      </c>
      <c r="F1350" s="26">
        <f t="shared" si="26"/>
        <v>5.8823529411764705E-2</v>
      </c>
      <c r="G1350" s="30"/>
    </row>
    <row r="1351" spans="1:7" x14ac:dyDescent="0.25">
      <c r="A1351" s="26">
        <v>20</v>
      </c>
      <c r="B1351" s="26">
        <v>7</v>
      </c>
      <c r="C1351" s="26">
        <v>0.4</v>
      </c>
      <c r="D1351" s="26">
        <v>1.5</v>
      </c>
      <c r="E1351" s="26">
        <v>26</v>
      </c>
      <c r="F1351" s="26">
        <f t="shared" si="26"/>
        <v>5.7692307692307696E-2</v>
      </c>
      <c r="G1351" s="30"/>
    </row>
    <row r="1352" spans="1:7" x14ac:dyDescent="0.25">
      <c r="A1352" s="26">
        <v>20</v>
      </c>
      <c r="B1352" s="26">
        <v>7</v>
      </c>
      <c r="C1352" s="26">
        <v>0.4</v>
      </c>
      <c r="D1352" s="26">
        <v>2</v>
      </c>
      <c r="E1352" s="26">
        <v>35</v>
      </c>
      <c r="F1352" s="26">
        <f t="shared" si="26"/>
        <v>5.7142857142857141E-2</v>
      </c>
      <c r="G1352" s="30"/>
    </row>
    <row r="1353" spans="1:7" x14ac:dyDescent="0.25">
      <c r="A1353" s="26">
        <v>20</v>
      </c>
      <c r="B1353" s="26">
        <v>7</v>
      </c>
      <c r="C1353" s="26">
        <v>0.4</v>
      </c>
      <c r="D1353" s="26">
        <v>2.5</v>
      </c>
      <c r="E1353" s="26">
        <v>43</v>
      </c>
      <c r="F1353" s="26">
        <f t="shared" si="26"/>
        <v>5.8139534883720929E-2</v>
      </c>
      <c r="G1353" s="30"/>
    </row>
    <row r="1354" spans="1:7" x14ac:dyDescent="0.25">
      <c r="A1354" s="26">
        <v>20</v>
      </c>
      <c r="B1354" s="26">
        <v>7</v>
      </c>
      <c r="C1354" s="26">
        <v>0.4</v>
      </c>
      <c r="D1354" s="26">
        <v>3</v>
      </c>
      <c r="E1354" s="26">
        <v>52</v>
      </c>
      <c r="F1354" s="26">
        <f t="shared" si="26"/>
        <v>5.7692307692307696E-2</v>
      </c>
      <c r="G1354" s="30"/>
    </row>
    <row r="1355" spans="1:7" x14ac:dyDescent="0.25">
      <c r="A1355" s="26">
        <v>20</v>
      </c>
      <c r="B1355" s="26">
        <v>7</v>
      </c>
      <c r="C1355" s="26">
        <v>0.6</v>
      </c>
      <c r="D1355" s="26">
        <v>0.5</v>
      </c>
      <c r="E1355" s="26">
        <v>9</v>
      </c>
      <c r="F1355" s="26">
        <f t="shared" si="26"/>
        <v>5.5555555555555552E-2</v>
      </c>
      <c r="G1355" s="30"/>
    </row>
    <row r="1356" spans="1:7" x14ac:dyDescent="0.25">
      <c r="A1356" s="26">
        <v>20</v>
      </c>
      <c r="B1356" s="26">
        <v>7</v>
      </c>
      <c r="C1356" s="26">
        <v>0.6</v>
      </c>
      <c r="D1356" s="26">
        <v>1</v>
      </c>
      <c r="E1356" s="26">
        <v>18</v>
      </c>
      <c r="F1356" s="26">
        <f t="shared" si="26"/>
        <v>5.5555555555555552E-2</v>
      </c>
      <c r="G1356" s="30"/>
    </row>
    <row r="1357" spans="1:7" x14ac:dyDescent="0.25">
      <c r="A1357" s="26">
        <v>20</v>
      </c>
      <c r="B1357" s="26">
        <v>7</v>
      </c>
      <c r="C1357" s="26">
        <v>0.6</v>
      </c>
      <c r="D1357" s="26">
        <v>1.5</v>
      </c>
      <c r="E1357" s="26">
        <v>27</v>
      </c>
      <c r="F1357" s="26">
        <f t="shared" si="26"/>
        <v>5.5555555555555552E-2</v>
      </c>
      <c r="G1357" s="30"/>
    </row>
    <row r="1358" spans="1:7" x14ac:dyDescent="0.25">
      <c r="A1358" s="26">
        <v>20</v>
      </c>
      <c r="B1358" s="26">
        <v>7</v>
      </c>
      <c r="C1358" s="26">
        <v>0.6</v>
      </c>
      <c r="D1358" s="26">
        <v>2</v>
      </c>
      <c r="E1358" s="26">
        <v>36</v>
      </c>
      <c r="F1358" s="26">
        <f t="shared" si="26"/>
        <v>5.5555555555555552E-2</v>
      </c>
      <c r="G1358" s="30"/>
    </row>
    <row r="1359" spans="1:7" x14ac:dyDescent="0.25">
      <c r="A1359" s="26">
        <v>20</v>
      </c>
      <c r="B1359" s="26">
        <v>7</v>
      </c>
      <c r="C1359" s="26">
        <v>0.6</v>
      </c>
      <c r="D1359" s="26">
        <v>2.5</v>
      </c>
      <c r="E1359" s="26">
        <v>45</v>
      </c>
      <c r="F1359" s="26">
        <f t="shared" si="26"/>
        <v>5.5555555555555552E-2</v>
      </c>
      <c r="G1359" s="30"/>
    </row>
    <row r="1360" spans="1:7" x14ac:dyDescent="0.25">
      <c r="A1360" s="26">
        <v>20</v>
      </c>
      <c r="B1360" s="26">
        <v>7</v>
      </c>
      <c r="C1360" s="26">
        <v>0.6</v>
      </c>
      <c r="D1360" s="26">
        <v>3</v>
      </c>
      <c r="E1360" s="26">
        <v>54</v>
      </c>
      <c r="F1360" s="26">
        <f t="shared" si="26"/>
        <v>5.5555555555555552E-2</v>
      </c>
    </row>
    <row r="1361" spans="1:6" x14ac:dyDescent="0.25">
      <c r="A1361" s="26">
        <v>20</v>
      </c>
      <c r="B1361" s="26">
        <v>7</v>
      </c>
      <c r="C1361" s="26">
        <v>0.8</v>
      </c>
      <c r="D1361" s="26">
        <v>0.5</v>
      </c>
      <c r="E1361" s="26">
        <v>9</v>
      </c>
      <c r="F1361" s="26">
        <f t="shared" si="26"/>
        <v>5.5555555555555552E-2</v>
      </c>
    </row>
    <row r="1362" spans="1:6" x14ac:dyDescent="0.25">
      <c r="A1362" s="26">
        <v>20</v>
      </c>
      <c r="B1362" s="26">
        <v>7</v>
      </c>
      <c r="C1362" s="26">
        <v>0.8</v>
      </c>
      <c r="D1362" s="26">
        <v>1</v>
      </c>
      <c r="E1362" s="26">
        <v>18</v>
      </c>
      <c r="F1362" s="26">
        <f t="shared" si="26"/>
        <v>5.5555555555555552E-2</v>
      </c>
    </row>
    <row r="1363" spans="1:6" x14ac:dyDescent="0.25">
      <c r="A1363" s="26">
        <v>20</v>
      </c>
      <c r="B1363" s="26">
        <v>7</v>
      </c>
      <c r="C1363" s="26">
        <v>0.8</v>
      </c>
      <c r="D1363" s="26">
        <v>1.5</v>
      </c>
      <c r="E1363" s="26">
        <v>28</v>
      </c>
      <c r="F1363" s="26">
        <f t="shared" si="26"/>
        <v>5.3571428571428568E-2</v>
      </c>
    </row>
    <row r="1364" spans="1:6" x14ac:dyDescent="0.25">
      <c r="A1364" s="26">
        <v>20</v>
      </c>
      <c r="B1364" s="26">
        <v>7</v>
      </c>
      <c r="C1364" s="26">
        <v>0.8</v>
      </c>
      <c r="D1364" s="26">
        <v>2</v>
      </c>
      <c r="E1364" s="26">
        <v>37</v>
      </c>
      <c r="F1364" s="26">
        <f t="shared" si="26"/>
        <v>5.4054054054054057E-2</v>
      </c>
    </row>
    <row r="1365" spans="1:6" x14ac:dyDescent="0.25">
      <c r="A1365" s="26">
        <v>20</v>
      </c>
      <c r="B1365" s="26">
        <v>7</v>
      </c>
      <c r="C1365" s="26">
        <v>0.8</v>
      </c>
      <c r="D1365" s="26">
        <v>2.5</v>
      </c>
      <c r="E1365" s="26">
        <v>46</v>
      </c>
      <c r="F1365" s="26">
        <f t="shared" si="26"/>
        <v>5.434782608695652E-2</v>
      </c>
    </row>
    <row r="1366" spans="1:6" x14ac:dyDescent="0.25">
      <c r="A1366" s="26">
        <v>20</v>
      </c>
      <c r="B1366" s="26">
        <v>7</v>
      </c>
      <c r="C1366" s="26">
        <v>0.8</v>
      </c>
      <c r="D1366" s="26">
        <v>3</v>
      </c>
      <c r="E1366" s="26">
        <v>55</v>
      </c>
      <c r="F1366" s="26">
        <f t="shared" si="26"/>
        <v>5.4545454545454543E-2</v>
      </c>
    </row>
    <row r="1367" spans="1:6" x14ac:dyDescent="0.25">
      <c r="A1367" s="26">
        <v>20</v>
      </c>
      <c r="B1367" s="26">
        <v>7</v>
      </c>
      <c r="C1367" s="26">
        <v>1</v>
      </c>
      <c r="D1367" s="26">
        <v>0.5</v>
      </c>
      <c r="E1367" s="26">
        <v>9</v>
      </c>
      <c r="F1367" s="26">
        <f t="shared" si="26"/>
        <v>5.5555555555555552E-2</v>
      </c>
    </row>
    <row r="1368" spans="1:6" x14ac:dyDescent="0.25">
      <c r="A1368" s="26">
        <v>20</v>
      </c>
      <c r="B1368" s="26">
        <v>7</v>
      </c>
      <c r="C1368" s="26">
        <v>1</v>
      </c>
      <c r="D1368" s="26">
        <v>1</v>
      </c>
      <c r="E1368" s="26">
        <v>19</v>
      </c>
      <c r="F1368" s="26">
        <f t="shared" si="26"/>
        <v>5.2631578947368418E-2</v>
      </c>
    </row>
    <row r="1369" spans="1:6" x14ac:dyDescent="0.25">
      <c r="A1369" s="26">
        <v>20</v>
      </c>
      <c r="B1369" s="26">
        <v>7</v>
      </c>
      <c r="C1369" s="26">
        <v>1</v>
      </c>
      <c r="D1369" s="26">
        <v>1.5</v>
      </c>
      <c r="E1369" s="26">
        <v>28</v>
      </c>
      <c r="F1369" s="26">
        <f t="shared" si="26"/>
        <v>5.3571428571428568E-2</v>
      </c>
    </row>
    <row r="1370" spans="1:6" x14ac:dyDescent="0.25">
      <c r="A1370" s="26">
        <v>20</v>
      </c>
      <c r="B1370" s="26">
        <v>7</v>
      </c>
      <c r="C1370" s="26">
        <v>1</v>
      </c>
      <c r="D1370" s="26">
        <v>2</v>
      </c>
      <c r="E1370" s="26">
        <v>37</v>
      </c>
      <c r="F1370" s="26">
        <f t="shared" si="26"/>
        <v>5.4054054054054057E-2</v>
      </c>
    </row>
    <row r="1371" spans="1:6" x14ac:dyDescent="0.25">
      <c r="A1371" s="26">
        <v>20</v>
      </c>
      <c r="B1371" s="26">
        <v>7</v>
      </c>
      <c r="C1371" s="26">
        <v>1</v>
      </c>
      <c r="D1371" s="26">
        <v>2.5</v>
      </c>
      <c r="E1371" s="26">
        <v>47</v>
      </c>
      <c r="F1371" s="26">
        <f t="shared" si="26"/>
        <v>5.3191489361702128E-2</v>
      </c>
    </row>
    <row r="1372" spans="1:6" x14ac:dyDescent="0.25">
      <c r="A1372" s="26">
        <v>20</v>
      </c>
      <c r="B1372" s="26">
        <v>7</v>
      </c>
      <c r="C1372" s="26">
        <v>1</v>
      </c>
      <c r="D1372" s="26">
        <v>3</v>
      </c>
      <c r="E1372" s="26">
        <v>56</v>
      </c>
      <c r="F1372" s="26">
        <f t="shared" si="26"/>
        <v>5.3571428571428568E-2</v>
      </c>
    </row>
    <row r="1373" spans="1:6" x14ac:dyDescent="0.25">
      <c r="A1373" s="26">
        <v>20</v>
      </c>
      <c r="B1373" s="26">
        <v>7</v>
      </c>
      <c r="C1373" s="26">
        <v>1.2</v>
      </c>
      <c r="D1373" s="26">
        <v>0.5</v>
      </c>
      <c r="E1373" s="26">
        <v>10</v>
      </c>
      <c r="F1373" s="26">
        <f t="shared" si="26"/>
        <v>0.05</v>
      </c>
    </row>
    <row r="1374" spans="1:6" x14ac:dyDescent="0.25">
      <c r="A1374" s="26">
        <v>20</v>
      </c>
      <c r="B1374" s="26">
        <v>7</v>
      </c>
      <c r="C1374" s="26">
        <v>1.2</v>
      </c>
      <c r="D1374" s="26">
        <v>1</v>
      </c>
      <c r="E1374" s="26">
        <v>19</v>
      </c>
      <c r="F1374" s="26">
        <f t="shared" si="26"/>
        <v>5.2631578947368418E-2</v>
      </c>
    </row>
    <row r="1375" spans="1:6" x14ac:dyDescent="0.25">
      <c r="A1375" s="26">
        <v>20</v>
      </c>
      <c r="B1375" s="26">
        <v>7</v>
      </c>
      <c r="C1375" s="26">
        <v>1.2</v>
      </c>
      <c r="D1375" s="26">
        <v>1.5</v>
      </c>
      <c r="E1375" s="26">
        <v>29</v>
      </c>
      <c r="F1375" s="26">
        <f t="shared" si="26"/>
        <v>5.1724137931034482E-2</v>
      </c>
    </row>
    <row r="1376" spans="1:6" x14ac:dyDescent="0.25">
      <c r="A1376" s="26">
        <v>20</v>
      </c>
      <c r="B1376" s="26">
        <v>7</v>
      </c>
      <c r="C1376" s="26">
        <v>1.2</v>
      </c>
      <c r="D1376" s="26">
        <v>2</v>
      </c>
      <c r="E1376" s="26">
        <v>38</v>
      </c>
      <c r="F1376" s="26">
        <f t="shared" si="26"/>
        <v>5.2631578947368418E-2</v>
      </c>
    </row>
    <row r="1377" spans="1:6" x14ac:dyDescent="0.25">
      <c r="A1377" s="26">
        <v>20</v>
      </c>
      <c r="B1377" s="26">
        <v>7</v>
      </c>
      <c r="C1377" s="26">
        <v>1.2</v>
      </c>
      <c r="D1377" s="26">
        <v>2.5</v>
      </c>
      <c r="E1377" s="26">
        <v>48</v>
      </c>
      <c r="F1377" s="26">
        <f t="shared" si="26"/>
        <v>5.2083333333333336E-2</v>
      </c>
    </row>
    <row r="1378" spans="1:6" x14ac:dyDescent="0.25">
      <c r="A1378" s="26">
        <v>20</v>
      </c>
      <c r="B1378" s="26">
        <v>7</v>
      </c>
      <c r="C1378" s="26">
        <v>1.2</v>
      </c>
      <c r="D1378" s="26">
        <v>3</v>
      </c>
      <c r="E1378" s="26">
        <v>57</v>
      </c>
      <c r="F1378" s="26">
        <f t="shared" si="26"/>
        <v>5.2631578947368418E-2</v>
      </c>
    </row>
    <row r="1379" spans="1:6" x14ac:dyDescent="0.25">
      <c r="A1379" s="26">
        <v>20</v>
      </c>
      <c r="B1379" s="26">
        <v>7</v>
      </c>
      <c r="C1379" s="26">
        <v>1.4</v>
      </c>
      <c r="D1379" s="26">
        <v>0.5</v>
      </c>
      <c r="E1379" s="26">
        <v>10</v>
      </c>
      <c r="F1379" s="26">
        <f t="shared" si="26"/>
        <v>0.05</v>
      </c>
    </row>
    <row r="1380" spans="1:6" x14ac:dyDescent="0.25">
      <c r="A1380" s="26">
        <v>20</v>
      </c>
      <c r="B1380" s="26">
        <v>7</v>
      </c>
      <c r="C1380" s="26">
        <v>1.4</v>
      </c>
      <c r="D1380" s="26">
        <v>1</v>
      </c>
      <c r="E1380" s="26">
        <v>19</v>
      </c>
      <c r="F1380" s="26">
        <f t="shared" si="26"/>
        <v>5.2631578947368418E-2</v>
      </c>
    </row>
    <row r="1381" spans="1:6" x14ac:dyDescent="0.25">
      <c r="A1381" s="26">
        <v>20</v>
      </c>
      <c r="B1381" s="26">
        <v>7</v>
      </c>
      <c r="C1381" s="26">
        <v>1.4</v>
      </c>
      <c r="D1381" s="26">
        <v>1.5</v>
      </c>
      <c r="E1381" s="26">
        <v>29</v>
      </c>
      <c r="F1381" s="26">
        <f t="shared" si="26"/>
        <v>5.1724137931034482E-2</v>
      </c>
    </row>
    <row r="1382" spans="1:6" x14ac:dyDescent="0.25">
      <c r="A1382" s="26">
        <v>20</v>
      </c>
      <c r="B1382" s="26">
        <v>7</v>
      </c>
      <c r="C1382" s="26">
        <v>1.4</v>
      </c>
      <c r="D1382" s="26">
        <v>2</v>
      </c>
      <c r="E1382" s="26">
        <v>39</v>
      </c>
      <c r="F1382" s="26">
        <f t="shared" si="26"/>
        <v>5.128205128205128E-2</v>
      </c>
    </row>
    <row r="1383" spans="1:6" x14ac:dyDescent="0.25">
      <c r="A1383" s="26">
        <v>20</v>
      </c>
      <c r="B1383" s="26">
        <v>7</v>
      </c>
      <c r="C1383" s="26">
        <v>1.4</v>
      </c>
      <c r="D1383" s="26">
        <v>2.5</v>
      </c>
      <c r="E1383" s="26">
        <v>48</v>
      </c>
      <c r="F1383" s="26">
        <f t="shared" si="26"/>
        <v>5.2083333333333336E-2</v>
      </c>
    </row>
    <row r="1384" spans="1:6" x14ac:dyDescent="0.25">
      <c r="A1384" s="26">
        <v>20</v>
      </c>
      <c r="B1384" s="26">
        <v>7</v>
      </c>
      <c r="C1384" s="26">
        <v>1.4</v>
      </c>
      <c r="D1384" s="26">
        <v>3</v>
      </c>
      <c r="E1384" s="26">
        <v>58</v>
      </c>
      <c r="F1384" s="26">
        <f t="shared" si="26"/>
        <v>5.1724137931034482E-2</v>
      </c>
    </row>
    <row r="1385" spans="1:6" x14ac:dyDescent="0.25">
      <c r="A1385" s="26">
        <v>20</v>
      </c>
      <c r="B1385" s="26">
        <v>7</v>
      </c>
      <c r="C1385" s="26">
        <v>1.6</v>
      </c>
      <c r="D1385" s="26">
        <v>0.5</v>
      </c>
      <c r="E1385" s="26">
        <v>10</v>
      </c>
      <c r="F1385" s="26">
        <f t="shared" si="26"/>
        <v>0.05</v>
      </c>
    </row>
    <row r="1386" spans="1:6" x14ac:dyDescent="0.25">
      <c r="A1386" s="26">
        <v>20</v>
      </c>
      <c r="B1386" s="26">
        <v>7</v>
      </c>
      <c r="C1386" s="26">
        <v>1.6</v>
      </c>
      <c r="D1386" s="26">
        <v>1</v>
      </c>
      <c r="E1386" s="26">
        <v>20</v>
      </c>
      <c r="F1386" s="26">
        <f t="shared" si="26"/>
        <v>0.05</v>
      </c>
    </row>
    <row r="1387" spans="1:6" x14ac:dyDescent="0.25">
      <c r="A1387" s="26">
        <v>20</v>
      </c>
      <c r="B1387" s="26">
        <v>7</v>
      </c>
      <c r="C1387" s="26">
        <v>1.6</v>
      </c>
      <c r="D1387" s="26">
        <v>1.5</v>
      </c>
      <c r="E1387" s="26">
        <v>30</v>
      </c>
      <c r="F1387" s="26">
        <f t="shared" si="26"/>
        <v>0.05</v>
      </c>
    </row>
    <row r="1388" spans="1:6" x14ac:dyDescent="0.25">
      <c r="A1388" s="26">
        <v>20</v>
      </c>
      <c r="B1388" s="26">
        <v>7</v>
      </c>
      <c r="C1388" s="26">
        <v>1.6</v>
      </c>
      <c r="D1388" s="26">
        <v>2</v>
      </c>
      <c r="E1388" s="26">
        <v>39</v>
      </c>
      <c r="F1388" s="26">
        <f t="shared" si="26"/>
        <v>5.128205128205128E-2</v>
      </c>
    </row>
    <row r="1389" spans="1:6" x14ac:dyDescent="0.25">
      <c r="A1389" s="26">
        <v>20</v>
      </c>
      <c r="B1389" s="26">
        <v>7</v>
      </c>
      <c r="C1389" s="26">
        <v>1.6</v>
      </c>
      <c r="D1389" s="26">
        <v>2.5</v>
      </c>
      <c r="E1389" s="26">
        <v>49</v>
      </c>
      <c r="F1389" s="26">
        <f t="shared" si="26"/>
        <v>5.1020408163265307E-2</v>
      </c>
    </row>
    <row r="1390" spans="1:6" x14ac:dyDescent="0.25">
      <c r="A1390" s="26">
        <v>20</v>
      </c>
      <c r="B1390" s="26">
        <v>7</v>
      </c>
      <c r="C1390" s="26">
        <v>1.6</v>
      </c>
      <c r="D1390" s="26">
        <v>3</v>
      </c>
      <c r="E1390" s="26">
        <v>59</v>
      </c>
      <c r="F1390" s="26">
        <f t="shared" si="26"/>
        <v>5.0847457627118647E-2</v>
      </c>
    </row>
    <row r="1391" spans="1:6" x14ac:dyDescent="0.25">
      <c r="A1391" s="26">
        <v>20</v>
      </c>
      <c r="B1391" s="26">
        <v>7</v>
      </c>
      <c r="C1391" s="26">
        <v>1.8</v>
      </c>
      <c r="D1391" s="26">
        <v>0.5</v>
      </c>
      <c r="E1391" s="26">
        <v>10</v>
      </c>
      <c r="F1391" s="26">
        <f t="shared" si="26"/>
        <v>0.05</v>
      </c>
    </row>
    <row r="1392" spans="1:6" x14ac:dyDescent="0.25">
      <c r="A1392" s="26">
        <v>20</v>
      </c>
      <c r="B1392" s="26">
        <v>7</v>
      </c>
      <c r="C1392" s="26">
        <v>1.8</v>
      </c>
      <c r="D1392" s="26">
        <v>1</v>
      </c>
      <c r="E1392" s="26">
        <v>20</v>
      </c>
      <c r="F1392" s="26">
        <f t="shared" si="26"/>
        <v>0.05</v>
      </c>
    </row>
    <row r="1393" spans="1:6" x14ac:dyDescent="0.25">
      <c r="A1393" s="26">
        <v>20</v>
      </c>
      <c r="B1393" s="26">
        <v>7</v>
      </c>
      <c r="C1393" s="26">
        <v>1.8</v>
      </c>
      <c r="D1393" s="26">
        <v>1.5</v>
      </c>
      <c r="E1393" s="26">
        <v>31</v>
      </c>
      <c r="F1393" s="26">
        <f t="shared" si="26"/>
        <v>4.8387096774193547E-2</v>
      </c>
    </row>
    <row r="1394" spans="1:6" x14ac:dyDescent="0.25">
      <c r="A1394" s="26">
        <v>20</v>
      </c>
      <c r="B1394" s="26">
        <v>7</v>
      </c>
      <c r="C1394" s="26">
        <v>1.8</v>
      </c>
      <c r="D1394" s="26">
        <v>2</v>
      </c>
      <c r="E1394" s="26">
        <v>41</v>
      </c>
      <c r="F1394" s="26">
        <f t="shared" si="26"/>
        <v>4.878048780487805E-2</v>
      </c>
    </row>
    <row r="1395" spans="1:6" x14ac:dyDescent="0.25">
      <c r="A1395" s="26">
        <v>20</v>
      </c>
      <c r="B1395" s="26">
        <v>7</v>
      </c>
      <c r="C1395" s="26">
        <v>1.8</v>
      </c>
      <c r="D1395" s="26">
        <v>2.5</v>
      </c>
      <c r="E1395" s="26">
        <v>51</v>
      </c>
      <c r="F1395" s="26">
        <f t="shared" si="26"/>
        <v>4.9019607843137254E-2</v>
      </c>
    </row>
    <row r="1396" spans="1:6" x14ac:dyDescent="0.25">
      <c r="A1396" s="26">
        <v>20</v>
      </c>
      <c r="B1396" s="26">
        <v>7</v>
      </c>
      <c r="C1396" s="26">
        <v>1.8</v>
      </c>
      <c r="D1396" s="26">
        <v>3</v>
      </c>
      <c r="E1396" s="26">
        <v>61</v>
      </c>
      <c r="F1396" s="26">
        <f t="shared" si="26"/>
        <v>4.9180327868852458E-2</v>
      </c>
    </row>
    <row r="1397" spans="1:6" x14ac:dyDescent="0.25">
      <c r="A1397" s="26">
        <v>20</v>
      </c>
      <c r="B1397" s="26">
        <v>7</v>
      </c>
      <c r="C1397" s="26">
        <v>2</v>
      </c>
      <c r="D1397" s="26">
        <v>0.5</v>
      </c>
      <c r="E1397" s="26">
        <v>10</v>
      </c>
      <c r="F1397" s="26">
        <f t="shared" si="26"/>
        <v>0.05</v>
      </c>
    </row>
    <row r="1398" spans="1:6" x14ac:dyDescent="0.25">
      <c r="A1398" s="26">
        <v>20</v>
      </c>
      <c r="B1398" s="26">
        <v>7</v>
      </c>
      <c r="C1398" s="26">
        <v>2</v>
      </c>
      <c r="D1398" s="26">
        <v>1</v>
      </c>
      <c r="E1398" s="26">
        <v>21</v>
      </c>
      <c r="F1398" s="26">
        <f t="shared" si="26"/>
        <v>4.7619047619047616E-2</v>
      </c>
    </row>
    <row r="1399" spans="1:6" x14ac:dyDescent="0.25">
      <c r="A1399" s="26">
        <v>20</v>
      </c>
      <c r="B1399" s="26">
        <v>7</v>
      </c>
      <c r="C1399" s="26">
        <v>2</v>
      </c>
      <c r="D1399" s="26">
        <v>1.5</v>
      </c>
      <c r="E1399" s="26">
        <v>31</v>
      </c>
      <c r="F1399" s="26">
        <f t="shared" si="26"/>
        <v>4.8387096774193547E-2</v>
      </c>
    </row>
    <row r="1400" spans="1:6" x14ac:dyDescent="0.25">
      <c r="A1400" s="26">
        <v>20</v>
      </c>
      <c r="B1400" s="26">
        <v>7</v>
      </c>
      <c r="C1400" s="26">
        <v>2</v>
      </c>
      <c r="D1400" s="26">
        <v>2</v>
      </c>
      <c r="E1400" s="26">
        <v>41</v>
      </c>
      <c r="F1400" s="26">
        <f t="shared" si="26"/>
        <v>4.878048780487805E-2</v>
      </c>
    </row>
    <row r="1401" spans="1:6" x14ac:dyDescent="0.25">
      <c r="A1401" s="26">
        <v>20</v>
      </c>
      <c r="B1401" s="26">
        <v>7</v>
      </c>
      <c r="C1401" s="26">
        <v>2</v>
      </c>
      <c r="D1401" s="26">
        <v>2.5</v>
      </c>
      <c r="E1401" s="26">
        <v>52</v>
      </c>
      <c r="F1401" s="26">
        <f t="shared" si="26"/>
        <v>4.807692307692308E-2</v>
      </c>
    </row>
    <row r="1402" spans="1:6" x14ac:dyDescent="0.25">
      <c r="A1402" s="26">
        <v>20</v>
      </c>
      <c r="B1402" s="26">
        <v>7</v>
      </c>
      <c r="C1402" s="26">
        <v>2</v>
      </c>
      <c r="D1402" s="26">
        <v>3</v>
      </c>
      <c r="E1402" s="26">
        <v>62</v>
      </c>
      <c r="F1402" s="26">
        <f t="shared" si="26"/>
        <v>4.8387096774193547E-2</v>
      </c>
    </row>
    <row r="1403" spans="1:6" x14ac:dyDescent="0.25">
      <c r="A1403" s="26">
        <v>20</v>
      </c>
      <c r="B1403" s="26">
        <v>7</v>
      </c>
      <c r="C1403" s="26">
        <v>2.2000000000000002</v>
      </c>
      <c r="D1403" s="26">
        <v>0.5</v>
      </c>
      <c r="E1403" s="26">
        <v>11</v>
      </c>
      <c r="F1403" s="26">
        <f t="shared" si="26"/>
        <v>4.5454545454545456E-2</v>
      </c>
    </row>
    <row r="1404" spans="1:6" x14ac:dyDescent="0.25">
      <c r="A1404" s="26">
        <v>20</v>
      </c>
      <c r="B1404" s="26">
        <v>7</v>
      </c>
      <c r="C1404" s="26">
        <v>2.2000000000000002</v>
      </c>
      <c r="D1404" s="26">
        <v>1</v>
      </c>
      <c r="E1404" s="26">
        <v>21</v>
      </c>
      <c r="F1404" s="26">
        <f t="shared" si="26"/>
        <v>4.7619047619047616E-2</v>
      </c>
    </row>
    <row r="1405" spans="1:6" x14ac:dyDescent="0.25">
      <c r="A1405" s="26">
        <v>20</v>
      </c>
      <c r="B1405" s="26">
        <v>7</v>
      </c>
      <c r="C1405" s="26">
        <v>2.2000000000000002</v>
      </c>
      <c r="D1405" s="26">
        <v>1.5</v>
      </c>
      <c r="E1405" s="26">
        <v>32</v>
      </c>
      <c r="F1405" s="26">
        <f t="shared" si="26"/>
        <v>4.6875E-2</v>
      </c>
    </row>
    <row r="1406" spans="1:6" x14ac:dyDescent="0.25">
      <c r="A1406" s="26">
        <v>20</v>
      </c>
      <c r="B1406" s="26">
        <v>7</v>
      </c>
      <c r="C1406" s="26">
        <v>2.2000000000000002</v>
      </c>
      <c r="D1406" s="26">
        <v>2</v>
      </c>
      <c r="E1406" s="26">
        <v>42</v>
      </c>
      <c r="F1406" s="26">
        <f t="shared" si="26"/>
        <v>4.7619047619047616E-2</v>
      </c>
    </row>
    <row r="1407" spans="1:6" x14ac:dyDescent="0.25">
      <c r="A1407" s="26">
        <v>20</v>
      </c>
      <c r="B1407" s="26">
        <v>7</v>
      </c>
      <c r="C1407" s="26">
        <v>2.2000000000000002</v>
      </c>
      <c r="D1407" s="26">
        <v>2.5</v>
      </c>
      <c r="E1407" s="26">
        <v>53</v>
      </c>
      <c r="F1407" s="26">
        <f t="shared" si="26"/>
        <v>4.716981132075472E-2</v>
      </c>
    </row>
    <row r="1408" spans="1:6" x14ac:dyDescent="0.25">
      <c r="A1408" s="26">
        <v>20</v>
      </c>
      <c r="B1408" s="26">
        <v>7</v>
      </c>
      <c r="C1408" s="26">
        <v>2.2000000000000002</v>
      </c>
      <c r="D1408" s="26">
        <v>3</v>
      </c>
      <c r="E1408" s="26">
        <v>63</v>
      </c>
      <c r="F1408" s="26">
        <f t="shared" si="26"/>
        <v>4.7619047619047616E-2</v>
      </c>
    </row>
    <row r="1409" spans="1:6" x14ac:dyDescent="0.25">
      <c r="A1409" s="26">
        <v>20</v>
      </c>
      <c r="B1409" s="26">
        <v>7</v>
      </c>
      <c r="C1409" s="26">
        <v>2.4</v>
      </c>
      <c r="D1409" s="26">
        <v>0.5</v>
      </c>
      <c r="E1409" s="26">
        <v>11</v>
      </c>
      <c r="F1409" s="26">
        <f t="shared" si="26"/>
        <v>4.5454545454545456E-2</v>
      </c>
    </row>
    <row r="1410" spans="1:6" x14ac:dyDescent="0.25">
      <c r="A1410" s="26">
        <v>20</v>
      </c>
      <c r="B1410" s="26">
        <v>7</v>
      </c>
      <c r="C1410" s="26">
        <v>2.4</v>
      </c>
      <c r="D1410" s="26">
        <v>1</v>
      </c>
      <c r="E1410" s="26">
        <v>22</v>
      </c>
      <c r="F1410" s="26">
        <f t="shared" si="26"/>
        <v>4.5454545454545456E-2</v>
      </c>
    </row>
    <row r="1411" spans="1:6" x14ac:dyDescent="0.25">
      <c r="A1411" s="26">
        <v>20</v>
      </c>
      <c r="B1411" s="26">
        <v>7</v>
      </c>
      <c r="C1411" s="26">
        <v>2.4</v>
      </c>
      <c r="D1411" s="26">
        <v>1.5</v>
      </c>
      <c r="E1411" s="26">
        <v>33</v>
      </c>
      <c r="F1411" s="26">
        <f t="shared" si="26"/>
        <v>4.5454545454545456E-2</v>
      </c>
    </row>
    <row r="1412" spans="1:6" x14ac:dyDescent="0.25">
      <c r="A1412" s="26">
        <v>20</v>
      </c>
      <c r="B1412" s="26">
        <v>7</v>
      </c>
      <c r="C1412" s="26">
        <v>2.4</v>
      </c>
      <c r="D1412" s="26">
        <v>2</v>
      </c>
      <c r="E1412" s="26">
        <v>43</v>
      </c>
      <c r="F1412" s="26">
        <f t="shared" si="26"/>
        <v>4.6511627906976744E-2</v>
      </c>
    </row>
    <row r="1413" spans="1:6" x14ac:dyDescent="0.25">
      <c r="A1413" s="26">
        <v>20</v>
      </c>
      <c r="B1413" s="26">
        <v>7</v>
      </c>
      <c r="C1413" s="26">
        <v>2.4</v>
      </c>
      <c r="D1413" s="26">
        <v>2.5</v>
      </c>
      <c r="E1413" s="26">
        <v>54</v>
      </c>
      <c r="F1413" s="26">
        <f t="shared" ref="F1413:F1476" si="27">D1413/E1413</f>
        <v>4.6296296296296294E-2</v>
      </c>
    </row>
    <row r="1414" spans="1:6" x14ac:dyDescent="0.25">
      <c r="A1414" s="26">
        <v>20</v>
      </c>
      <c r="B1414" s="26">
        <v>7</v>
      </c>
      <c r="C1414" s="26">
        <v>2.4</v>
      </c>
      <c r="D1414" s="26">
        <v>3</v>
      </c>
      <c r="E1414" s="26">
        <v>65</v>
      </c>
      <c r="F1414" s="26">
        <f t="shared" si="27"/>
        <v>4.6153846153846156E-2</v>
      </c>
    </row>
    <row r="1415" spans="1:6" x14ac:dyDescent="0.25">
      <c r="A1415" s="26">
        <v>20</v>
      </c>
      <c r="B1415" s="26">
        <v>7</v>
      </c>
      <c r="C1415" s="26">
        <v>2.6</v>
      </c>
      <c r="D1415" s="26">
        <v>0.5</v>
      </c>
      <c r="E1415" s="26">
        <v>11</v>
      </c>
      <c r="F1415" s="26">
        <f t="shared" si="27"/>
        <v>4.5454545454545456E-2</v>
      </c>
    </row>
    <row r="1416" spans="1:6" x14ac:dyDescent="0.25">
      <c r="A1416" s="26">
        <v>20</v>
      </c>
      <c r="B1416" s="26">
        <v>7</v>
      </c>
      <c r="C1416" s="26">
        <v>2.6</v>
      </c>
      <c r="D1416" s="26">
        <v>1</v>
      </c>
      <c r="E1416" s="26">
        <v>22</v>
      </c>
      <c r="F1416" s="26">
        <f t="shared" si="27"/>
        <v>4.5454545454545456E-2</v>
      </c>
    </row>
    <row r="1417" spans="1:6" x14ac:dyDescent="0.25">
      <c r="A1417" s="26">
        <v>20</v>
      </c>
      <c r="B1417" s="26">
        <v>7</v>
      </c>
      <c r="C1417" s="26">
        <v>2.6</v>
      </c>
      <c r="D1417" s="26">
        <v>1.5</v>
      </c>
      <c r="E1417" s="26">
        <v>33</v>
      </c>
      <c r="F1417" s="26">
        <f t="shared" si="27"/>
        <v>4.5454545454545456E-2</v>
      </c>
    </row>
    <row r="1418" spans="1:6" x14ac:dyDescent="0.25">
      <c r="A1418" s="26">
        <v>20</v>
      </c>
      <c r="B1418" s="26">
        <v>7</v>
      </c>
      <c r="C1418" s="26">
        <v>2.6</v>
      </c>
      <c r="D1418" s="26">
        <v>2</v>
      </c>
      <c r="E1418" s="26">
        <v>44</v>
      </c>
      <c r="F1418" s="26">
        <f t="shared" si="27"/>
        <v>4.5454545454545456E-2</v>
      </c>
    </row>
    <row r="1419" spans="1:6" x14ac:dyDescent="0.25">
      <c r="A1419" s="26">
        <v>20</v>
      </c>
      <c r="B1419" s="26">
        <v>7</v>
      </c>
      <c r="C1419" s="26">
        <v>2.6</v>
      </c>
      <c r="D1419" s="26">
        <v>2.5</v>
      </c>
      <c r="E1419" s="26">
        <v>55</v>
      </c>
      <c r="F1419" s="26">
        <f t="shared" si="27"/>
        <v>4.5454545454545456E-2</v>
      </c>
    </row>
    <row r="1420" spans="1:6" x14ac:dyDescent="0.25">
      <c r="A1420" s="26">
        <v>20</v>
      </c>
      <c r="B1420" s="26">
        <v>7</v>
      </c>
      <c r="C1420" s="26">
        <v>2.6</v>
      </c>
      <c r="D1420" s="26">
        <v>3</v>
      </c>
      <c r="E1420" s="26">
        <v>66</v>
      </c>
      <c r="F1420" s="26">
        <f t="shared" si="27"/>
        <v>4.5454545454545456E-2</v>
      </c>
    </row>
    <row r="1421" spans="1:6" x14ac:dyDescent="0.25">
      <c r="A1421" s="26">
        <v>20</v>
      </c>
      <c r="B1421" s="26">
        <v>7</v>
      </c>
      <c r="C1421" s="26">
        <v>2.8</v>
      </c>
      <c r="D1421" s="26">
        <v>0.5</v>
      </c>
      <c r="E1421" s="26">
        <v>11</v>
      </c>
      <c r="F1421" s="26">
        <f t="shared" si="27"/>
        <v>4.5454545454545456E-2</v>
      </c>
    </row>
    <row r="1422" spans="1:6" x14ac:dyDescent="0.25">
      <c r="A1422" s="26">
        <v>20</v>
      </c>
      <c r="B1422" s="26">
        <v>7</v>
      </c>
      <c r="C1422" s="26">
        <v>2.8</v>
      </c>
      <c r="D1422" s="26">
        <v>1</v>
      </c>
      <c r="E1422" s="26">
        <v>22</v>
      </c>
      <c r="F1422" s="26">
        <f t="shared" si="27"/>
        <v>4.5454545454545456E-2</v>
      </c>
    </row>
    <row r="1423" spans="1:6" x14ac:dyDescent="0.25">
      <c r="A1423" s="26">
        <v>20</v>
      </c>
      <c r="B1423" s="26">
        <v>7</v>
      </c>
      <c r="C1423" s="26">
        <v>2.8</v>
      </c>
      <c r="D1423" s="26">
        <v>1.5</v>
      </c>
      <c r="E1423" s="26">
        <v>34</v>
      </c>
      <c r="F1423" s="26">
        <f t="shared" si="27"/>
        <v>4.4117647058823532E-2</v>
      </c>
    </row>
    <row r="1424" spans="1:6" x14ac:dyDescent="0.25">
      <c r="A1424" s="26">
        <v>20</v>
      </c>
      <c r="B1424" s="26">
        <v>7</v>
      </c>
      <c r="C1424" s="26">
        <v>2.8</v>
      </c>
      <c r="D1424" s="26">
        <v>2</v>
      </c>
      <c r="E1424" s="26">
        <v>45</v>
      </c>
      <c r="F1424" s="26">
        <f t="shared" si="27"/>
        <v>4.4444444444444446E-2</v>
      </c>
    </row>
    <row r="1425" spans="1:6" x14ac:dyDescent="0.25">
      <c r="A1425" s="26">
        <v>20</v>
      </c>
      <c r="B1425" s="26">
        <v>7</v>
      </c>
      <c r="C1425" s="26">
        <v>2.8</v>
      </c>
      <c r="D1425" s="26">
        <v>2.5</v>
      </c>
      <c r="E1425" s="26">
        <v>56</v>
      </c>
      <c r="F1425" s="26">
        <f t="shared" si="27"/>
        <v>4.4642857142857144E-2</v>
      </c>
    </row>
    <row r="1426" spans="1:6" x14ac:dyDescent="0.25">
      <c r="A1426" s="26">
        <v>20</v>
      </c>
      <c r="B1426" s="26">
        <v>7</v>
      </c>
      <c r="C1426" s="26">
        <v>2.8</v>
      </c>
      <c r="D1426" s="26">
        <v>3</v>
      </c>
      <c r="E1426" s="26">
        <v>67</v>
      </c>
      <c r="F1426" s="26">
        <f t="shared" si="27"/>
        <v>4.4776119402985072E-2</v>
      </c>
    </row>
    <row r="1427" spans="1:6" x14ac:dyDescent="0.25">
      <c r="A1427" s="26">
        <v>20</v>
      </c>
      <c r="B1427" s="26">
        <v>7</v>
      </c>
      <c r="C1427" s="26">
        <v>3</v>
      </c>
      <c r="D1427" s="26">
        <v>0.5</v>
      </c>
      <c r="E1427" s="26">
        <v>11</v>
      </c>
      <c r="F1427" s="26">
        <f t="shared" si="27"/>
        <v>4.5454545454545456E-2</v>
      </c>
    </row>
    <row r="1428" spans="1:6" x14ac:dyDescent="0.25">
      <c r="A1428" s="26">
        <v>20</v>
      </c>
      <c r="B1428" s="26">
        <v>7</v>
      </c>
      <c r="C1428" s="26">
        <v>3</v>
      </c>
      <c r="D1428" s="26">
        <v>1</v>
      </c>
      <c r="E1428" s="26">
        <v>23</v>
      </c>
      <c r="F1428" s="26">
        <f t="shared" si="27"/>
        <v>4.3478260869565216E-2</v>
      </c>
    </row>
    <row r="1429" spans="1:6" x14ac:dyDescent="0.25">
      <c r="A1429" s="26">
        <v>20</v>
      </c>
      <c r="B1429" s="26">
        <v>7</v>
      </c>
      <c r="C1429" s="26">
        <v>3</v>
      </c>
      <c r="D1429" s="26">
        <v>1.5</v>
      </c>
      <c r="E1429" s="26">
        <v>34</v>
      </c>
      <c r="F1429" s="26">
        <f t="shared" si="27"/>
        <v>4.4117647058823532E-2</v>
      </c>
    </row>
    <row r="1430" spans="1:6" x14ac:dyDescent="0.25">
      <c r="A1430" s="26">
        <v>20</v>
      </c>
      <c r="B1430" s="26">
        <v>7</v>
      </c>
      <c r="C1430" s="26">
        <v>3</v>
      </c>
      <c r="D1430" s="26">
        <v>2</v>
      </c>
      <c r="E1430" s="26">
        <v>45</v>
      </c>
      <c r="F1430" s="26">
        <f t="shared" si="27"/>
        <v>4.4444444444444446E-2</v>
      </c>
    </row>
    <row r="1431" spans="1:6" x14ac:dyDescent="0.25">
      <c r="A1431" s="26">
        <v>20</v>
      </c>
      <c r="B1431" s="26">
        <v>7</v>
      </c>
      <c r="C1431" s="26">
        <v>3</v>
      </c>
      <c r="D1431" s="26">
        <v>2.5</v>
      </c>
      <c r="E1431" s="26">
        <v>57</v>
      </c>
      <c r="F1431" s="26">
        <f t="shared" si="27"/>
        <v>4.3859649122807015E-2</v>
      </c>
    </row>
    <row r="1432" spans="1:6" x14ac:dyDescent="0.25">
      <c r="A1432" s="26">
        <v>20</v>
      </c>
      <c r="B1432" s="26">
        <v>7</v>
      </c>
      <c r="C1432" s="26">
        <v>3</v>
      </c>
      <c r="D1432" s="26">
        <v>3</v>
      </c>
      <c r="E1432" s="26">
        <v>68</v>
      </c>
      <c r="F1432" s="26">
        <f t="shared" si="27"/>
        <v>4.4117647058823532E-2</v>
      </c>
    </row>
    <row r="1433" spans="1:6" x14ac:dyDescent="0.25">
      <c r="A1433" s="26">
        <v>20</v>
      </c>
      <c r="B1433" s="26">
        <v>7.5</v>
      </c>
      <c r="C1433" s="26">
        <v>0.4</v>
      </c>
      <c r="D1433" s="26">
        <v>0.5</v>
      </c>
      <c r="E1433" s="26">
        <v>10</v>
      </c>
      <c r="F1433" s="26">
        <f t="shared" si="27"/>
        <v>0.05</v>
      </c>
    </row>
    <row r="1434" spans="1:6" x14ac:dyDescent="0.25">
      <c r="A1434" s="26">
        <v>20</v>
      </c>
      <c r="B1434" s="26">
        <v>7.5</v>
      </c>
      <c r="C1434" s="26">
        <v>0.4</v>
      </c>
      <c r="D1434" s="26">
        <v>1</v>
      </c>
      <c r="E1434" s="26">
        <v>21</v>
      </c>
      <c r="F1434" s="26">
        <f t="shared" si="27"/>
        <v>4.7619047619047616E-2</v>
      </c>
    </row>
    <row r="1435" spans="1:6" x14ac:dyDescent="0.25">
      <c r="A1435" s="26">
        <v>20</v>
      </c>
      <c r="B1435" s="26">
        <v>7.5</v>
      </c>
      <c r="C1435" s="26">
        <v>0.4</v>
      </c>
      <c r="D1435" s="26">
        <v>1.5</v>
      </c>
      <c r="E1435" s="26">
        <v>31</v>
      </c>
      <c r="F1435" s="26">
        <f t="shared" si="27"/>
        <v>4.8387096774193547E-2</v>
      </c>
    </row>
    <row r="1436" spans="1:6" x14ac:dyDescent="0.25">
      <c r="A1436" s="26">
        <v>20</v>
      </c>
      <c r="B1436" s="26">
        <v>7.5</v>
      </c>
      <c r="C1436" s="26">
        <v>0.4</v>
      </c>
      <c r="D1436" s="26">
        <v>2</v>
      </c>
      <c r="E1436" s="26">
        <v>41</v>
      </c>
      <c r="F1436" s="26">
        <f t="shared" si="27"/>
        <v>4.878048780487805E-2</v>
      </c>
    </row>
    <row r="1437" spans="1:6" x14ac:dyDescent="0.25">
      <c r="A1437" s="26">
        <v>20</v>
      </c>
      <c r="B1437" s="26">
        <v>7.5</v>
      </c>
      <c r="C1437" s="26">
        <v>0.4</v>
      </c>
      <c r="D1437" s="26">
        <v>2.5</v>
      </c>
      <c r="E1437" s="26">
        <v>52</v>
      </c>
      <c r="F1437" s="26">
        <f t="shared" si="27"/>
        <v>4.807692307692308E-2</v>
      </c>
    </row>
    <row r="1438" spans="1:6" x14ac:dyDescent="0.25">
      <c r="A1438" s="26">
        <v>20</v>
      </c>
      <c r="B1438" s="26">
        <v>7.5</v>
      </c>
      <c r="C1438" s="26">
        <v>0.4</v>
      </c>
      <c r="D1438" s="26">
        <v>3</v>
      </c>
      <c r="E1438" s="26">
        <v>62</v>
      </c>
      <c r="F1438" s="26">
        <f t="shared" si="27"/>
        <v>4.8387096774193547E-2</v>
      </c>
    </row>
    <row r="1439" spans="1:6" x14ac:dyDescent="0.25">
      <c r="A1439" s="26">
        <v>20</v>
      </c>
      <c r="B1439" s="26">
        <v>7.5</v>
      </c>
      <c r="C1439" s="26">
        <v>0.6</v>
      </c>
      <c r="D1439" s="26">
        <v>0.5</v>
      </c>
      <c r="E1439" s="26">
        <v>11</v>
      </c>
      <c r="F1439" s="26">
        <f t="shared" si="27"/>
        <v>4.5454545454545456E-2</v>
      </c>
    </row>
    <row r="1440" spans="1:6" x14ac:dyDescent="0.25">
      <c r="A1440" s="26">
        <v>20</v>
      </c>
      <c r="B1440" s="26">
        <v>7.5</v>
      </c>
      <c r="C1440" s="26">
        <v>0.6</v>
      </c>
      <c r="D1440" s="26">
        <v>1</v>
      </c>
      <c r="E1440" s="26">
        <v>21</v>
      </c>
      <c r="F1440" s="26">
        <f t="shared" si="27"/>
        <v>4.7619047619047616E-2</v>
      </c>
    </row>
    <row r="1441" spans="1:6" x14ac:dyDescent="0.25">
      <c r="A1441" s="26">
        <v>20</v>
      </c>
      <c r="B1441" s="26">
        <v>7.5</v>
      </c>
      <c r="C1441" s="26">
        <v>0.6</v>
      </c>
      <c r="D1441" s="26">
        <v>1.5</v>
      </c>
      <c r="E1441" s="26">
        <v>32</v>
      </c>
      <c r="F1441" s="26">
        <f t="shared" si="27"/>
        <v>4.6875E-2</v>
      </c>
    </row>
    <row r="1442" spans="1:6" x14ac:dyDescent="0.25">
      <c r="A1442" s="26">
        <v>20</v>
      </c>
      <c r="B1442" s="26">
        <v>7.5</v>
      </c>
      <c r="C1442" s="26">
        <v>0.6</v>
      </c>
      <c r="D1442" s="26">
        <v>2</v>
      </c>
      <c r="E1442" s="26">
        <v>43</v>
      </c>
      <c r="F1442" s="26">
        <f t="shared" si="27"/>
        <v>4.6511627906976744E-2</v>
      </c>
    </row>
    <row r="1443" spans="1:6" x14ac:dyDescent="0.25">
      <c r="A1443" s="26">
        <v>20</v>
      </c>
      <c r="B1443" s="26">
        <v>7.5</v>
      </c>
      <c r="C1443" s="26">
        <v>0.6</v>
      </c>
      <c r="D1443" s="26">
        <v>2.5</v>
      </c>
      <c r="E1443" s="26">
        <v>53</v>
      </c>
      <c r="F1443" s="26">
        <f t="shared" si="27"/>
        <v>4.716981132075472E-2</v>
      </c>
    </row>
    <row r="1444" spans="1:6" x14ac:dyDescent="0.25">
      <c r="A1444" s="26">
        <v>20</v>
      </c>
      <c r="B1444" s="26">
        <v>7.5</v>
      </c>
      <c r="C1444" s="26">
        <v>0.6</v>
      </c>
      <c r="D1444" s="26">
        <v>3</v>
      </c>
      <c r="E1444" s="26">
        <v>64</v>
      </c>
      <c r="F1444" s="26">
        <f t="shared" si="27"/>
        <v>4.6875E-2</v>
      </c>
    </row>
    <row r="1445" spans="1:6" x14ac:dyDescent="0.25">
      <c r="A1445" s="26">
        <v>20</v>
      </c>
      <c r="B1445" s="26">
        <v>7.5</v>
      </c>
      <c r="C1445" s="26">
        <v>0.8</v>
      </c>
      <c r="D1445" s="26">
        <v>0.5</v>
      </c>
      <c r="E1445" s="26">
        <v>11</v>
      </c>
      <c r="F1445" s="26">
        <f t="shared" si="27"/>
        <v>4.5454545454545456E-2</v>
      </c>
    </row>
    <row r="1446" spans="1:6" x14ac:dyDescent="0.25">
      <c r="A1446" s="26">
        <v>20</v>
      </c>
      <c r="B1446" s="26">
        <v>7.5</v>
      </c>
      <c r="C1446" s="26">
        <v>0.8</v>
      </c>
      <c r="D1446" s="26">
        <v>1</v>
      </c>
      <c r="E1446" s="26">
        <v>22</v>
      </c>
      <c r="F1446" s="26">
        <f t="shared" si="27"/>
        <v>4.5454545454545456E-2</v>
      </c>
    </row>
    <row r="1447" spans="1:6" x14ac:dyDescent="0.25">
      <c r="A1447" s="26">
        <v>20</v>
      </c>
      <c r="B1447" s="26">
        <v>7.5</v>
      </c>
      <c r="C1447" s="26">
        <v>0.8</v>
      </c>
      <c r="D1447" s="26">
        <v>1.5</v>
      </c>
      <c r="E1447" s="26">
        <v>33</v>
      </c>
      <c r="F1447" s="26">
        <f t="shared" si="27"/>
        <v>4.5454545454545456E-2</v>
      </c>
    </row>
    <row r="1448" spans="1:6" x14ac:dyDescent="0.25">
      <c r="A1448" s="26">
        <v>20</v>
      </c>
      <c r="B1448" s="26">
        <v>7.5</v>
      </c>
      <c r="C1448" s="26">
        <v>0.8</v>
      </c>
      <c r="D1448" s="26">
        <v>2</v>
      </c>
      <c r="E1448" s="26">
        <v>44</v>
      </c>
      <c r="F1448" s="26">
        <f t="shared" si="27"/>
        <v>4.5454545454545456E-2</v>
      </c>
    </row>
    <row r="1449" spans="1:6" x14ac:dyDescent="0.25">
      <c r="A1449" s="26">
        <v>20</v>
      </c>
      <c r="B1449" s="26">
        <v>7.5</v>
      </c>
      <c r="C1449" s="26">
        <v>0.8</v>
      </c>
      <c r="D1449" s="26">
        <v>2.5</v>
      </c>
      <c r="E1449" s="26">
        <v>55</v>
      </c>
      <c r="F1449" s="26">
        <f t="shared" si="27"/>
        <v>4.5454545454545456E-2</v>
      </c>
    </row>
    <row r="1450" spans="1:6" x14ac:dyDescent="0.25">
      <c r="A1450" s="26">
        <v>20</v>
      </c>
      <c r="B1450" s="26">
        <v>7.5</v>
      </c>
      <c r="C1450" s="26">
        <v>0.8</v>
      </c>
      <c r="D1450" s="26">
        <v>3</v>
      </c>
      <c r="E1450" s="26">
        <v>66</v>
      </c>
      <c r="F1450" s="26">
        <f t="shared" si="27"/>
        <v>4.5454545454545456E-2</v>
      </c>
    </row>
    <row r="1451" spans="1:6" x14ac:dyDescent="0.25">
      <c r="A1451" s="26">
        <v>20</v>
      </c>
      <c r="B1451" s="26">
        <v>7.5</v>
      </c>
      <c r="C1451" s="26">
        <v>1</v>
      </c>
      <c r="D1451" s="26">
        <v>0.5</v>
      </c>
      <c r="E1451" s="26">
        <v>11</v>
      </c>
      <c r="F1451" s="26">
        <f t="shared" si="27"/>
        <v>4.5454545454545456E-2</v>
      </c>
    </row>
    <row r="1452" spans="1:6" x14ac:dyDescent="0.25">
      <c r="A1452" s="26">
        <v>20</v>
      </c>
      <c r="B1452" s="26">
        <v>7.5</v>
      </c>
      <c r="C1452" s="26">
        <v>1</v>
      </c>
      <c r="D1452" s="26">
        <v>1</v>
      </c>
      <c r="E1452" s="26">
        <v>22</v>
      </c>
      <c r="F1452" s="26">
        <f t="shared" si="27"/>
        <v>4.5454545454545456E-2</v>
      </c>
    </row>
    <row r="1453" spans="1:6" x14ac:dyDescent="0.25">
      <c r="A1453" s="26">
        <v>20</v>
      </c>
      <c r="B1453" s="26">
        <v>7.5</v>
      </c>
      <c r="C1453" s="26">
        <v>1</v>
      </c>
      <c r="D1453" s="26">
        <v>1.5</v>
      </c>
      <c r="E1453" s="26">
        <v>34</v>
      </c>
      <c r="F1453" s="26">
        <f t="shared" si="27"/>
        <v>4.4117647058823532E-2</v>
      </c>
    </row>
    <row r="1454" spans="1:6" x14ac:dyDescent="0.25">
      <c r="A1454" s="26">
        <v>20</v>
      </c>
      <c r="B1454" s="26">
        <v>7.5</v>
      </c>
      <c r="C1454" s="26">
        <v>1</v>
      </c>
      <c r="D1454" s="26">
        <v>2</v>
      </c>
      <c r="E1454" s="26">
        <v>45</v>
      </c>
      <c r="F1454" s="26">
        <f t="shared" si="27"/>
        <v>4.4444444444444446E-2</v>
      </c>
    </row>
    <row r="1455" spans="1:6" x14ac:dyDescent="0.25">
      <c r="A1455" s="26">
        <v>20</v>
      </c>
      <c r="B1455" s="26">
        <v>7.5</v>
      </c>
      <c r="C1455" s="26">
        <v>1</v>
      </c>
      <c r="D1455" s="26">
        <v>2.5</v>
      </c>
      <c r="E1455" s="26">
        <v>56</v>
      </c>
      <c r="F1455" s="26">
        <f t="shared" si="27"/>
        <v>4.4642857142857144E-2</v>
      </c>
    </row>
    <row r="1456" spans="1:6" x14ac:dyDescent="0.25">
      <c r="A1456" s="26">
        <v>20</v>
      </c>
      <c r="B1456" s="26">
        <v>7.5</v>
      </c>
      <c r="C1456" s="26">
        <v>1</v>
      </c>
      <c r="D1456" s="26">
        <v>3</v>
      </c>
      <c r="E1456" s="26">
        <v>67</v>
      </c>
      <c r="F1456" s="26">
        <f t="shared" si="27"/>
        <v>4.4776119402985072E-2</v>
      </c>
    </row>
    <row r="1457" spans="1:6" x14ac:dyDescent="0.25">
      <c r="A1457" s="26">
        <v>20</v>
      </c>
      <c r="B1457" s="26">
        <v>7.5</v>
      </c>
      <c r="C1457" s="26">
        <v>1.2</v>
      </c>
      <c r="D1457" s="26">
        <v>0.5</v>
      </c>
      <c r="E1457" s="26">
        <v>12</v>
      </c>
      <c r="F1457" s="26">
        <f t="shared" si="27"/>
        <v>4.1666666666666664E-2</v>
      </c>
    </row>
    <row r="1458" spans="1:6" x14ac:dyDescent="0.25">
      <c r="A1458" s="26">
        <v>20</v>
      </c>
      <c r="B1458" s="26">
        <v>7.5</v>
      </c>
      <c r="C1458" s="26">
        <v>1.2</v>
      </c>
      <c r="D1458" s="26">
        <v>1</v>
      </c>
      <c r="E1458" s="26">
        <v>23</v>
      </c>
      <c r="F1458" s="26">
        <f t="shared" si="27"/>
        <v>4.3478260869565216E-2</v>
      </c>
    </row>
    <row r="1459" spans="1:6" x14ac:dyDescent="0.25">
      <c r="A1459" s="26">
        <v>20</v>
      </c>
      <c r="B1459" s="26">
        <v>7.5</v>
      </c>
      <c r="C1459" s="26">
        <v>1.2</v>
      </c>
      <c r="D1459" s="26">
        <v>1.5</v>
      </c>
      <c r="E1459" s="26">
        <v>35</v>
      </c>
      <c r="F1459" s="26">
        <f t="shared" si="27"/>
        <v>4.2857142857142858E-2</v>
      </c>
    </row>
    <row r="1460" spans="1:6" x14ac:dyDescent="0.25">
      <c r="A1460" s="26">
        <v>20</v>
      </c>
      <c r="B1460" s="26">
        <v>7.5</v>
      </c>
      <c r="C1460" s="26">
        <v>1.2</v>
      </c>
      <c r="D1460" s="26">
        <v>2</v>
      </c>
      <c r="E1460" s="26">
        <v>46</v>
      </c>
      <c r="F1460" s="26">
        <f t="shared" si="27"/>
        <v>4.3478260869565216E-2</v>
      </c>
    </row>
    <row r="1461" spans="1:6" x14ac:dyDescent="0.25">
      <c r="A1461" s="26">
        <v>20</v>
      </c>
      <c r="B1461" s="26">
        <v>7.5</v>
      </c>
      <c r="C1461" s="26">
        <v>1.2</v>
      </c>
      <c r="D1461" s="26">
        <v>2.5</v>
      </c>
      <c r="E1461" s="26">
        <v>58</v>
      </c>
      <c r="F1461" s="26">
        <f t="shared" si="27"/>
        <v>4.3103448275862072E-2</v>
      </c>
    </row>
    <row r="1462" spans="1:6" x14ac:dyDescent="0.25">
      <c r="A1462" s="26">
        <v>20</v>
      </c>
      <c r="B1462" s="26">
        <v>7.5</v>
      </c>
      <c r="C1462" s="26">
        <v>1.2</v>
      </c>
      <c r="D1462" s="26">
        <v>3</v>
      </c>
      <c r="E1462" s="26">
        <v>69</v>
      </c>
      <c r="F1462" s="26">
        <f t="shared" si="27"/>
        <v>4.3478260869565216E-2</v>
      </c>
    </row>
    <row r="1463" spans="1:6" x14ac:dyDescent="0.25">
      <c r="A1463" s="26">
        <v>20</v>
      </c>
      <c r="B1463" s="26">
        <v>7.5</v>
      </c>
      <c r="C1463" s="26">
        <v>1.4</v>
      </c>
      <c r="D1463" s="26">
        <v>0.5</v>
      </c>
      <c r="E1463" s="30">
        <v>12</v>
      </c>
      <c r="F1463" s="26">
        <f t="shared" si="27"/>
        <v>4.1666666666666664E-2</v>
      </c>
    </row>
    <row r="1464" spans="1:6" x14ac:dyDescent="0.25">
      <c r="A1464" s="26">
        <v>20</v>
      </c>
      <c r="B1464" s="26">
        <v>7.5</v>
      </c>
      <c r="C1464" s="26">
        <v>1.4</v>
      </c>
      <c r="D1464" s="26">
        <v>1</v>
      </c>
      <c r="E1464" s="30">
        <v>23</v>
      </c>
      <c r="F1464" s="26">
        <f t="shared" si="27"/>
        <v>4.3478260869565216E-2</v>
      </c>
    </row>
    <row r="1465" spans="1:6" x14ac:dyDescent="0.25">
      <c r="A1465" s="26">
        <v>20</v>
      </c>
      <c r="B1465" s="26">
        <v>7.5</v>
      </c>
      <c r="C1465" s="26">
        <v>1.4</v>
      </c>
      <c r="D1465" s="26">
        <v>1.5</v>
      </c>
      <c r="E1465" s="30">
        <v>35</v>
      </c>
      <c r="F1465" s="26">
        <f t="shared" si="27"/>
        <v>4.2857142857142858E-2</v>
      </c>
    </row>
    <row r="1466" spans="1:6" x14ac:dyDescent="0.25">
      <c r="A1466" s="26">
        <v>20</v>
      </c>
      <c r="B1466" s="26">
        <v>7.5</v>
      </c>
      <c r="C1466" s="26">
        <v>1.4</v>
      </c>
      <c r="D1466" s="26">
        <v>2</v>
      </c>
      <c r="E1466" s="75">
        <v>47</v>
      </c>
      <c r="F1466" s="26">
        <f t="shared" si="27"/>
        <v>4.2553191489361701E-2</v>
      </c>
    </row>
    <row r="1467" spans="1:6" x14ac:dyDescent="0.25">
      <c r="A1467" s="26">
        <v>20</v>
      </c>
      <c r="B1467" s="26">
        <v>7.5</v>
      </c>
      <c r="C1467" s="26">
        <v>1.4</v>
      </c>
      <c r="D1467" s="26">
        <v>2.5</v>
      </c>
      <c r="E1467" s="75">
        <v>58</v>
      </c>
      <c r="F1467" s="26">
        <f t="shared" si="27"/>
        <v>4.3103448275862072E-2</v>
      </c>
    </row>
    <row r="1468" spans="1:6" x14ac:dyDescent="0.25">
      <c r="A1468" s="26">
        <v>20</v>
      </c>
      <c r="B1468" s="26">
        <v>7.5</v>
      </c>
      <c r="C1468" s="26">
        <v>1.4</v>
      </c>
      <c r="D1468" s="26">
        <v>3</v>
      </c>
      <c r="E1468" s="75">
        <v>70</v>
      </c>
      <c r="F1468" s="26">
        <f t="shared" si="27"/>
        <v>4.2857142857142858E-2</v>
      </c>
    </row>
    <row r="1469" spans="1:6" x14ac:dyDescent="0.25">
      <c r="A1469" s="26">
        <v>20</v>
      </c>
      <c r="B1469" s="26">
        <v>7.5</v>
      </c>
      <c r="C1469" s="26">
        <v>1.6</v>
      </c>
      <c r="D1469" s="26">
        <v>0.5</v>
      </c>
      <c r="E1469" s="75">
        <v>12</v>
      </c>
      <c r="F1469" s="26">
        <f t="shared" si="27"/>
        <v>4.1666666666666664E-2</v>
      </c>
    </row>
    <row r="1470" spans="1:6" x14ac:dyDescent="0.25">
      <c r="A1470" s="26">
        <v>20</v>
      </c>
      <c r="B1470" s="26">
        <v>7.5</v>
      </c>
      <c r="C1470" s="26">
        <v>1.6</v>
      </c>
      <c r="D1470" s="26">
        <v>1</v>
      </c>
      <c r="E1470" s="75">
        <v>24</v>
      </c>
      <c r="F1470" s="26">
        <f t="shared" si="27"/>
        <v>4.1666666666666664E-2</v>
      </c>
    </row>
    <row r="1471" spans="1:6" x14ac:dyDescent="0.25">
      <c r="A1471" s="26">
        <v>20</v>
      </c>
      <c r="B1471" s="26">
        <v>7.5</v>
      </c>
      <c r="C1471" s="26">
        <v>1.6</v>
      </c>
      <c r="D1471" s="26">
        <v>1.5</v>
      </c>
      <c r="E1471" s="75">
        <v>36</v>
      </c>
      <c r="F1471" s="26">
        <f t="shared" si="27"/>
        <v>4.1666666666666664E-2</v>
      </c>
    </row>
    <row r="1472" spans="1:6" x14ac:dyDescent="0.25">
      <c r="A1472" s="26">
        <v>20</v>
      </c>
      <c r="B1472" s="26">
        <v>7.5</v>
      </c>
      <c r="C1472" s="26">
        <v>1.6</v>
      </c>
      <c r="D1472" s="26">
        <v>2</v>
      </c>
      <c r="E1472" s="75">
        <v>48</v>
      </c>
      <c r="F1472" s="26">
        <f t="shared" si="27"/>
        <v>4.1666666666666664E-2</v>
      </c>
    </row>
    <row r="1473" spans="1:6" x14ac:dyDescent="0.25">
      <c r="A1473" s="26">
        <v>20</v>
      </c>
      <c r="B1473" s="26">
        <v>7.5</v>
      </c>
      <c r="C1473" s="26">
        <v>1.6</v>
      </c>
      <c r="D1473" s="26">
        <v>2.5</v>
      </c>
      <c r="E1473" s="75">
        <v>60</v>
      </c>
      <c r="F1473" s="26">
        <f t="shared" si="27"/>
        <v>4.1666666666666664E-2</v>
      </c>
    </row>
    <row r="1474" spans="1:6" x14ac:dyDescent="0.25">
      <c r="A1474" s="26">
        <v>20</v>
      </c>
      <c r="B1474" s="26">
        <v>7.5</v>
      </c>
      <c r="C1474" s="26">
        <v>1.6</v>
      </c>
      <c r="D1474" s="26">
        <v>3</v>
      </c>
      <c r="E1474" s="75">
        <v>72</v>
      </c>
      <c r="F1474" s="26">
        <f t="shared" si="27"/>
        <v>4.1666666666666664E-2</v>
      </c>
    </row>
    <row r="1475" spans="1:6" x14ac:dyDescent="0.25">
      <c r="A1475" s="26">
        <v>20</v>
      </c>
      <c r="B1475" s="26">
        <v>7.5</v>
      </c>
      <c r="C1475" s="26">
        <v>1.8</v>
      </c>
      <c r="D1475" s="26">
        <v>0.5</v>
      </c>
      <c r="E1475" s="75">
        <v>12</v>
      </c>
      <c r="F1475" s="26">
        <f t="shared" si="27"/>
        <v>4.1666666666666664E-2</v>
      </c>
    </row>
    <row r="1476" spans="1:6" x14ac:dyDescent="0.25">
      <c r="A1476" s="26">
        <v>20</v>
      </c>
      <c r="B1476" s="26">
        <v>7.5</v>
      </c>
      <c r="C1476" s="26">
        <v>1.8</v>
      </c>
      <c r="D1476" s="26">
        <v>1</v>
      </c>
      <c r="E1476" s="75">
        <v>25</v>
      </c>
      <c r="F1476" s="26">
        <f t="shared" si="27"/>
        <v>0.04</v>
      </c>
    </row>
    <row r="1477" spans="1:6" x14ac:dyDescent="0.25">
      <c r="A1477" s="26">
        <v>20</v>
      </c>
      <c r="B1477" s="26">
        <v>7.5</v>
      </c>
      <c r="C1477" s="26">
        <v>1.8</v>
      </c>
      <c r="D1477" s="26">
        <v>1.5</v>
      </c>
      <c r="E1477" s="75">
        <v>37</v>
      </c>
      <c r="F1477" s="26">
        <f t="shared" ref="F1477:F1540" si="28">D1477/E1477</f>
        <v>4.0540540540540543E-2</v>
      </c>
    </row>
    <row r="1478" spans="1:6" x14ac:dyDescent="0.25">
      <c r="A1478" s="26">
        <v>20</v>
      </c>
      <c r="B1478" s="26">
        <v>7.5</v>
      </c>
      <c r="C1478" s="26">
        <v>1.8</v>
      </c>
      <c r="D1478" s="26">
        <v>2</v>
      </c>
      <c r="E1478" s="75">
        <v>49</v>
      </c>
      <c r="F1478" s="26">
        <f t="shared" si="28"/>
        <v>4.0816326530612242E-2</v>
      </c>
    </row>
    <row r="1479" spans="1:6" x14ac:dyDescent="0.25">
      <c r="A1479" s="26">
        <v>20</v>
      </c>
      <c r="B1479" s="26">
        <v>7.5</v>
      </c>
      <c r="C1479" s="26">
        <v>1.8</v>
      </c>
      <c r="D1479" s="26">
        <v>2.5</v>
      </c>
      <c r="E1479" s="75">
        <v>62</v>
      </c>
      <c r="F1479" s="26">
        <f t="shared" si="28"/>
        <v>4.0322580645161289E-2</v>
      </c>
    </row>
    <row r="1480" spans="1:6" x14ac:dyDescent="0.25">
      <c r="A1480" s="26">
        <v>20</v>
      </c>
      <c r="B1480" s="26">
        <v>7.5</v>
      </c>
      <c r="C1480" s="26">
        <v>1.8</v>
      </c>
      <c r="D1480" s="26">
        <v>3</v>
      </c>
      <c r="E1480" s="75">
        <v>74</v>
      </c>
      <c r="F1480" s="26">
        <f t="shared" si="28"/>
        <v>4.0540540540540543E-2</v>
      </c>
    </row>
    <row r="1481" spans="1:6" x14ac:dyDescent="0.25">
      <c r="A1481" s="26">
        <v>20</v>
      </c>
      <c r="B1481" s="26">
        <v>7.5</v>
      </c>
      <c r="C1481" s="26">
        <v>2</v>
      </c>
      <c r="D1481" s="26">
        <v>0.5</v>
      </c>
      <c r="E1481" s="75">
        <v>13</v>
      </c>
      <c r="F1481" s="26">
        <f t="shared" si="28"/>
        <v>3.8461538461538464E-2</v>
      </c>
    </row>
    <row r="1482" spans="1:6" x14ac:dyDescent="0.25">
      <c r="A1482" s="26">
        <v>20</v>
      </c>
      <c r="B1482" s="26">
        <v>7.5</v>
      </c>
      <c r="C1482" s="26">
        <v>2</v>
      </c>
      <c r="D1482" s="26">
        <v>1</v>
      </c>
      <c r="E1482" s="75">
        <v>25</v>
      </c>
      <c r="F1482" s="26">
        <f t="shared" si="28"/>
        <v>0.04</v>
      </c>
    </row>
    <row r="1483" spans="1:6" x14ac:dyDescent="0.25">
      <c r="A1483" s="26">
        <v>20</v>
      </c>
      <c r="B1483" s="26">
        <v>7.5</v>
      </c>
      <c r="C1483" s="26">
        <v>2</v>
      </c>
      <c r="D1483" s="26">
        <v>1.5</v>
      </c>
      <c r="E1483" s="75">
        <v>38</v>
      </c>
      <c r="F1483" s="26">
        <f t="shared" si="28"/>
        <v>3.9473684210526314E-2</v>
      </c>
    </row>
    <row r="1484" spans="1:6" x14ac:dyDescent="0.25">
      <c r="A1484" s="26">
        <v>20</v>
      </c>
      <c r="B1484" s="26">
        <v>7.5</v>
      </c>
      <c r="C1484" s="26">
        <v>2</v>
      </c>
      <c r="D1484" s="26">
        <v>2</v>
      </c>
      <c r="E1484" s="75">
        <v>50</v>
      </c>
      <c r="F1484" s="26">
        <f t="shared" si="28"/>
        <v>0.04</v>
      </c>
    </row>
    <row r="1485" spans="1:6" x14ac:dyDescent="0.25">
      <c r="A1485" s="26">
        <v>20</v>
      </c>
      <c r="B1485" s="26">
        <v>7.5</v>
      </c>
      <c r="C1485" s="26">
        <v>2</v>
      </c>
      <c r="D1485" s="26">
        <v>2.5</v>
      </c>
      <c r="E1485" s="75">
        <v>63</v>
      </c>
      <c r="F1485" s="26">
        <f t="shared" si="28"/>
        <v>3.968253968253968E-2</v>
      </c>
    </row>
    <row r="1486" spans="1:6" x14ac:dyDescent="0.25">
      <c r="A1486" s="26">
        <v>20</v>
      </c>
      <c r="B1486" s="26">
        <v>7.5</v>
      </c>
      <c r="C1486" s="26">
        <v>2</v>
      </c>
      <c r="D1486" s="26">
        <v>3</v>
      </c>
      <c r="E1486" s="75">
        <v>75</v>
      </c>
      <c r="F1486" s="26">
        <f t="shared" si="28"/>
        <v>0.04</v>
      </c>
    </row>
    <row r="1487" spans="1:6" x14ac:dyDescent="0.25">
      <c r="A1487" s="26">
        <v>20</v>
      </c>
      <c r="B1487" s="26">
        <v>7.5</v>
      </c>
      <c r="C1487" s="26">
        <v>2.2000000000000002</v>
      </c>
      <c r="D1487" s="26">
        <v>0.5</v>
      </c>
      <c r="E1487" s="75">
        <v>13</v>
      </c>
      <c r="F1487" s="26">
        <f t="shared" si="28"/>
        <v>3.8461538461538464E-2</v>
      </c>
    </row>
    <row r="1488" spans="1:6" x14ac:dyDescent="0.25">
      <c r="A1488" s="26">
        <v>20</v>
      </c>
      <c r="B1488" s="26">
        <v>7.5</v>
      </c>
      <c r="C1488" s="26">
        <v>2.2000000000000002</v>
      </c>
      <c r="D1488" s="26">
        <v>1</v>
      </c>
      <c r="E1488" s="75">
        <v>26</v>
      </c>
      <c r="F1488" s="26">
        <f t="shared" si="28"/>
        <v>3.8461538461538464E-2</v>
      </c>
    </row>
    <row r="1489" spans="1:6" x14ac:dyDescent="0.25">
      <c r="A1489" s="26">
        <v>20</v>
      </c>
      <c r="B1489" s="26">
        <v>7.5</v>
      </c>
      <c r="C1489" s="26">
        <v>2.2000000000000002</v>
      </c>
      <c r="D1489" s="26">
        <v>1.5</v>
      </c>
      <c r="E1489" s="75">
        <v>39</v>
      </c>
      <c r="F1489" s="26">
        <f t="shared" si="28"/>
        <v>3.8461538461538464E-2</v>
      </c>
    </row>
    <row r="1490" spans="1:6" x14ac:dyDescent="0.25">
      <c r="A1490" s="26">
        <v>20</v>
      </c>
      <c r="B1490" s="26">
        <v>7.5</v>
      </c>
      <c r="C1490" s="26">
        <v>2.2000000000000002</v>
      </c>
      <c r="D1490" s="26">
        <v>2</v>
      </c>
      <c r="E1490" s="75">
        <v>51</v>
      </c>
      <c r="F1490" s="26">
        <f t="shared" si="28"/>
        <v>3.9215686274509803E-2</v>
      </c>
    </row>
    <row r="1491" spans="1:6" x14ac:dyDescent="0.25">
      <c r="A1491" s="26">
        <v>20</v>
      </c>
      <c r="B1491" s="26">
        <v>7.5</v>
      </c>
      <c r="C1491" s="26">
        <v>2.2000000000000002</v>
      </c>
      <c r="D1491" s="26">
        <v>2.5</v>
      </c>
      <c r="E1491" s="75">
        <v>64</v>
      </c>
      <c r="F1491" s="26">
        <f t="shared" si="28"/>
        <v>3.90625E-2</v>
      </c>
    </row>
    <row r="1492" spans="1:6" x14ac:dyDescent="0.25">
      <c r="A1492" s="26">
        <v>20</v>
      </c>
      <c r="B1492" s="26">
        <v>7.5</v>
      </c>
      <c r="C1492" s="26">
        <v>2.2000000000000002</v>
      </c>
      <c r="D1492" s="26">
        <v>3</v>
      </c>
      <c r="E1492" s="75">
        <v>77</v>
      </c>
      <c r="F1492" s="26">
        <f t="shared" si="28"/>
        <v>3.896103896103896E-2</v>
      </c>
    </row>
    <row r="1493" spans="1:6" x14ac:dyDescent="0.25">
      <c r="A1493" s="26">
        <v>20</v>
      </c>
      <c r="B1493" s="26">
        <v>7.5</v>
      </c>
      <c r="C1493" s="26">
        <v>2.4</v>
      </c>
      <c r="D1493" s="26">
        <v>0.5</v>
      </c>
      <c r="E1493" s="75">
        <v>13</v>
      </c>
      <c r="F1493" s="26">
        <f t="shared" si="28"/>
        <v>3.8461538461538464E-2</v>
      </c>
    </row>
    <row r="1494" spans="1:6" x14ac:dyDescent="0.25">
      <c r="A1494" s="26">
        <v>20</v>
      </c>
      <c r="B1494" s="26">
        <v>7.5</v>
      </c>
      <c r="C1494" s="26">
        <v>2.4</v>
      </c>
      <c r="D1494" s="26">
        <v>1</v>
      </c>
      <c r="E1494" s="75">
        <v>26</v>
      </c>
      <c r="F1494" s="26">
        <f t="shared" si="28"/>
        <v>3.8461538461538464E-2</v>
      </c>
    </row>
    <row r="1495" spans="1:6" x14ac:dyDescent="0.25">
      <c r="A1495" s="26">
        <v>20</v>
      </c>
      <c r="B1495" s="26">
        <v>7.5</v>
      </c>
      <c r="C1495" s="26">
        <v>2.4</v>
      </c>
      <c r="D1495" s="26">
        <v>1.5</v>
      </c>
      <c r="E1495" s="75">
        <v>39</v>
      </c>
      <c r="F1495" s="26">
        <f t="shared" si="28"/>
        <v>3.8461538461538464E-2</v>
      </c>
    </row>
    <row r="1496" spans="1:6" x14ac:dyDescent="0.25">
      <c r="A1496" s="26">
        <v>20</v>
      </c>
      <c r="B1496" s="26">
        <v>7.5</v>
      </c>
      <c r="C1496" s="26">
        <v>2.4</v>
      </c>
      <c r="D1496" s="26">
        <v>2</v>
      </c>
      <c r="E1496" s="75">
        <v>52</v>
      </c>
      <c r="F1496" s="26">
        <f t="shared" si="28"/>
        <v>3.8461538461538464E-2</v>
      </c>
    </row>
    <row r="1497" spans="1:6" x14ac:dyDescent="0.25">
      <c r="A1497" s="26">
        <v>20</v>
      </c>
      <c r="B1497" s="26">
        <v>7.5</v>
      </c>
      <c r="C1497" s="26">
        <v>2.4</v>
      </c>
      <c r="D1497" s="26">
        <v>2.5</v>
      </c>
      <c r="E1497" s="75">
        <v>65</v>
      </c>
      <c r="F1497" s="26">
        <f t="shared" si="28"/>
        <v>3.8461538461538464E-2</v>
      </c>
    </row>
    <row r="1498" spans="1:6" x14ac:dyDescent="0.25">
      <c r="A1498" s="26">
        <v>20</v>
      </c>
      <c r="B1498" s="26">
        <v>7.5</v>
      </c>
      <c r="C1498" s="26">
        <v>2.4</v>
      </c>
      <c r="D1498" s="26">
        <v>3</v>
      </c>
      <c r="E1498" s="75">
        <v>78</v>
      </c>
      <c r="F1498" s="26">
        <f t="shared" si="28"/>
        <v>3.8461538461538464E-2</v>
      </c>
    </row>
    <row r="1499" spans="1:6" x14ac:dyDescent="0.25">
      <c r="A1499" s="26">
        <v>20</v>
      </c>
      <c r="B1499" s="26">
        <v>7.5</v>
      </c>
      <c r="C1499" s="26">
        <v>2.6</v>
      </c>
      <c r="D1499" s="26">
        <v>0.5</v>
      </c>
      <c r="E1499" s="75">
        <v>13</v>
      </c>
      <c r="F1499" s="26">
        <f t="shared" si="28"/>
        <v>3.8461538461538464E-2</v>
      </c>
    </row>
    <row r="1500" spans="1:6" x14ac:dyDescent="0.25">
      <c r="A1500" s="26">
        <v>20</v>
      </c>
      <c r="B1500" s="26">
        <v>7.5</v>
      </c>
      <c r="C1500" s="26">
        <v>2.6</v>
      </c>
      <c r="D1500" s="26">
        <v>1</v>
      </c>
      <c r="E1500" s="75">
        <v>27</v>
      </c>
      <c r="F1500" s="26">
        <f t="shared" si="28"/>
        <v>3.7037037037037035E-2</v>
      </c>
    </row>
    <row r="1501" spans="1:6" x14ac:dyDescent="0.25">
      <c r="A1501" s="26">
        <v>20</v>
      </c>
      <c r="B1501" s="26">
        <v>7.5</v>
      </c>
      <c r="C1501" s="26">
        <v>2.6</v>
      </c>
      <c r="D1501" s="26">
        <v>1.5</v>
      </c>
      <c r="E1501" s="75">
        <v>40</v>
      </c>
      <c r="F1501" s="26">
        <f t="shared" si="28"/>
        <v>3.7499999999999999E-2</v>
      </c>
    </row>
    <row r="1502" spans="1:6" x14ac:dyDescent="0.25">
      <c r="A1502" s="26">
        <v>20</v>
      </c>
      <c r="B1502" s="26">
        <v>7.5</v>
      </c>
      <c r="C1502" s="26">
        <v>2.6</v>
      </c>
      <c r="D1502" s="26">
        <v>2</v>
      </c>
      <c r="E1502" s="75">
        <v>53</v>
      </c>
      <c r="F1502" s="26">
        <f t="shared" si="28"/>
        <v>3.7735849056603772E-2</v>
      </c>
    </row>
    <row r="1503" spans="1:6" x14ac:dyDescent="0.25">
      <c r="A1503" s="26">
        <v>20</v>
      </c>
      <c r="B1503" s="26">
        <v>7.5</v>
      </c>
      <c r="C1503" s="26">
        <v>2.6</v>
      </c>
      <c r="D1503" s="26">
        <v>2.5</v>
      </c>
      <c r="E1503" s="75">
        <v>67</v>
      </c>
      <c r="F1503" s="26">
        <f t="shared" si="28"/>
        <v>3.7313432835820892E-2</v>
      </c>
    </row>
    <row r="1504" spans="1:6" x14ac:dyDescent="0.25">
      <c r="A1504" s="26">
        <v>20</v>
      </c>
      <c r="B1504" s="26">
        <v>7.5</v>
      </c>
      <c r="C1504" s="26">
        <v>2.6</v>
      </c>
      <c r="D1504" s="26">
        <v>3</v>
      </c>
      <c r="E1504" s="75">
        <v>80</v>
      </c>
      <c r="F1504" s="26">
        <f t="shared" si="28"/>
        <v>3.7499999999999999E-2</v>
      </c>
    </row>
    <row r="1505" spans="1:6" x14ac:dyDescent="0.25">
      <c r="A1505" s="26">
        <v>20</v>
      </c>
      <c r="B1505" s="26">
        <v>7.5</v>
      </c>
      <c r="C1505" s="26">
        <v>2.8</v>
      </c>
      <c r="D1505" s="26">
        <v>0.5</v>
      </c>
      <c r="E1505" s="75">
        <v>14</v>
      </c>
      <c r="F1505" s="26">
        <f t="shared" si="28"/>
        <v>3.5714285714285712E-2</v>
      </c>
    </row>
    <row r="1506" spans="1:6" x14ac:dyDescent="0.25">
      <c r="A1506" s="26">
        <v>20</v>
      </c>
      <c r="B1506" s="26">
        <v>7.5</v>
      </c>
      <c r="C1506" s="26">
        <v>2.8</v>
      </c>
      <c r="D1506" s="26">
        <v>1</v>
      </c>
      <c r="E1506" s="75">
        <v>27</v>
      </c>
      <c r="F1506" s="26">
        <f t="shared" si="28"/>
        <v>3.7037037037037035E-2</v>
      </c>
    </row>
    <row r="1507" spans="1:6" x14ac:dyDescent="0.25">
      <c r="A1507" s="26">
        <v>20</v>
      </c>
      <c r="B1507" s="26">
        <v>7.5</v>
      </c>
      <c r="C1507" s="26">
        <v>2.8</v>
      </c>
      <c r="D1507" s="26">
        <v>1.5</v>
      </c>
      <c r="E1507" s="75">
        <v>41</v>
      </c>
      <c r="F1507" s="26">
        <f t="shared" si="28"/>
        <v>3.6585365853658534E-2</v>
      </c>
    </row>
    <row r="1508" spans="1:6" x14ac:dyDescent="0.25">
      <c r="A1508" s="26">
        <v>20</v>
      </c>
      <c r="B1508" s="26">
        <v>7.5</v>
      </c>
      <c r="C1508" s="26">
        <v>2.8</v>
      </c>
      <c r="D1508" s="26">
        <v>2</v>
      </c>
      <c r="E1508" s="75">
        <v>54</v>
      </c>
      <c r="F1508" s="26">
        <f t="shared" si="28"/>
        <v>3.7037037037037035E-2</v>
      </c>
    </row>
    <row r="1509" spans="1:6" x14ac:dyDescent="0.25">
      <c r="A1509" s="26">
        <v>20</v>
      </c>
      <c r="B1509" s="26">
        <v>7.5</v>
      </c>
      <c r="C1509" s="26">
        <v>2.8</v>
      </c>
      <c r="D1509" s="26">
        <v>2.5</v>
      </c>
      <c r="E1509" s="75">
        <v>68</v>
      </c>
      <c r="F1509" s="26">
        <f t="shared" si="28"/>
        <v>3.6764705882352942E-2</v>
      </c>
    </row>
    <row r="1510" spans="1:6" x14ac:dyDescent="0.25">
      <c r="A1510" s="26">
        <v>20</v>
      </c>
      <c r="B1510" s="26">
        <v>7.5</v>
      </c>
      <c r="C1510" s="26">
        <v>2.8</v>
      </c>
      <c r="D1510" s="26">
        <v>3</v>
      </c>
      <c r="E1510" s="75">
        <v>81</v>
      </c>
      <c r="F1510" s="26">
        <f t="shared" si="28"/>
        <v>3.7037037037037035E-2</v>
      </c>
    </row>
    <row r="1511" spans="1:6" x14ac:dyDescent="0.25">
      <c r="A1511" s="26">
        <v>20</v>
      </c>
      <c r="B1511" s="26">
        <v>7.5</v>
      </c>
      <c r="C1511" s="26">
        <v>3</v>
      </c>
      <c r="D1511" s="26">
        <v>0.5</v>
      </c>
      <c r="E1511" s="75">
        <v>14</v>
      </c>
      <c r="F1511" s="26">
        <f t="shared" si="28"/>
        <v>3.5714285714285712E-2</v>
      </c>
    </row>
    <row r="1512" spans="1:6" x14ac:dyDescent="0.25">
      <c r="A1512" s="26">
        <v>20</v>
      </c>
      <c r="B1512" s="26">
        <v>7.5</v>
      </c>
      <c r="C1512" s="26">
        <v>3</v>
      </c>
      <c r="D1512" s="26">
        <v>1</v>
      </c>
      <c r="E1512" s="75">
        <v>28</v>
      </c>
      <c r="F1512" s="26">
        <f t="shared" si="28"/>
        <v>3.5714285714285712E-2</v>
      </c>
    </row>
    <row r="1513" spans="1:6" x14ac:dyDescent="0.25">
      <c r="A1513" s="26">
        <v>20</v>
      </c>
      <c r="B1513" s="26">
        <v>7.5</v>
      </c>
      <c r="C1513" s="26">
        <v>3</v>
      </c>
      <c r="D1513" s="26">
        <v>1.5</v>
      </c>
      <c r="E1513" s="75">
        <v>42</v>
      </c>
      <c r="F1513" s="26">
        <f t="shared" si="28"/>
        <v>3.5714285714285712E-2</v>
      </c>
    </row>
    <row r="1514" spans="1:6" x14ac:dyDescent="0.25">
      <c r="A1514" s="26">
        <v>20</v>
      </c>
      <c r="B1514" s="26">
        <v>7.5</v>
      </c>
      <c r="C1514" s="26">
        <v>3</v>
      </c>
      <c r="D1514" s="26">
        <v>2</v>
      </c>
      <c r="E1514" s="75">
        <v>55</v>
      </c>
      <c r="F1514" s="26">
        <f t="shared" si="28"/>
        <v>3.6363636363636362E-2</v>
      </c>
    </row>
    <row r="1515" spans="1:6" x14ac:dyDescent="0.25">
      <c r="A1515" s="26">
        <v>20</v>
      </c>
      <c r="B1515" s="26">
        <v>7.5</v>
      </c>
      <c r="C1515" s="26">
        <v>3</v>
      </c>
      <c r="D1515" s="26">
        <v>2.5</v>
      </c>
      <c r="E1515" s="75">
        <v>69</v>
      </c>
      <c r="F1515" s="26">
        <f t="shared" si="28"/>
        <v>3.6231884057971016E-2</v>
      </c>
    </row>
    <row r="1516" spans="1:6" x14ac:dyDescent="0.25">
      <c r="A1516" s="73">
        <v>20</v>
      </c>
      <c r="B1516" s="73">
        <v>7.5</v>
      </c>
      <c r="C1516" s="73">
        <v>3</v>
      </c>
      <c r="D1516" s="73">
        <v>3</v>
      </c>
      <c r="E1516" s="76">
        <v>83</v>
      </c>
      <c r="F1516" s="73">
        <f t="shared" si="28"/>
        <v>3.614457831325301E-2</v>
      </c>
    </row>
    <row r="1517" spans="1:6" x14ac:dyDescent="0.25">
      <c r="A1517" s="26">
        <v>20</v>
      </c>
      <c r="B1517" s="26">
        <v>8</v>
      </c>
      <c r="C1517" s="26">
        <v>0.4</v>
      </c>
      <c r="D1517" s="26">
        <v>0.5</v>
      </c>
      <c r="E1517" s="75">
        <v>12</v>
      </c>
      <c r="F1517" s="77">
        <f t="shared" si="28"/>
        <v>4.1666666666666664E-2</v>
      </c>
    </row>
    <row r="1518" spans="1:6" x14ac:dyDescent="0.25">
      <c r="A1518" s="26">
        <v>20</v>
      </c>
      <c r="B1518" s="26">
        <v>8</v>
      </c>
      <c r="C1518" s="26">
        <v>0.4</v>
      </c>
      <c r="D1518" s="26">
        <v>1</v>
      </c>
      <c r="E1518" s="75">
        <v>25</v>
      </c>
      <c r="F1518" s="77">
        <f t="shared" si="28"/>
        <v>0.04</v>
      </c>
    </row>
    <row r="1519" spans="1:6" x14ac:dyDescent="0.25">
      <c r="A1519" s="26">
        <v>20</v>
      </c>
      <c r="B1519" s="26">
        <v>8</v>
      </c>
      <c r="C1519" s="26">
        <v>0.4</v>
      </c>
      <c r="D1519" s="26">
        <v>1.5</v>
      </c>
      <c r="E1519" s="75">
        <v>37</v>
      </c>
      <c r="F1519" s="77">
        <f t="shared" si="28"/>
        <v>4.0540540540540543E-2</v>
      </c>
    </row>
    <row r="1520" spans="1:6" x14ac:dyDescent="0.25">
      <c r="A1520" s="26">
        <v>20</v>
      </c>
      <c r="B1520" s="26">
        <v>8</v>
      </c>
      <c r="C1520" s="26">
        <v>0.4</v>
      </c>
      <c r="D1520" s="26">
        <v>2</v>
      </c>
      <c r="E1520" s="75">
        <v>49</v>
      </c>
      <c r="F1520" s="77">
        <f t="shared" si="28"/>
        <v>4.0816326530612242E-2</v>
      </c>
    </row>
    <row r="1521" spans="1:6" x14ac:dyDescent="0.25">
      <c r="A1521" s="26">
        <v>20</v>
      </c>
      <c r="B1521" s="26">
        <v>8</v>
      </c>
      <c r="C1521" s="26">
        <v>0.4</v>
      </c>
      <c r="D1521" s="26">
        <v>2.5</v>
      </c>
      <c r="E1521" s="75">
        <v>62</v>
      </c>
      <c r="F1521" s="77">
        <f t="shared" si="28"/>
        <v>4.0322580645161289E-2</v>
      </c>
    </row>
    <row r="1522" spans="1:6" x14ac:dyDescent="0.25">
      <c r="A1522" s="26">
        <v>20</v>
      </c>
      <c r="B1522" s="26">
        <v>8</v>
      </c>
      <c r="C1522" s="26">
        <v>0.4</v>
      </c>
      <c r="D1522" s="26">
        <v>3</v>
      </c>
      <c r="E1522" s="75">
        <v>74</v>
      </c>
      <c r="F1522" s="77">
        <f t="shared" si="28"/>
        <v>4.0540540540540543E-2</v>
      </c>
    </row>
    <row r="1523" spans="1:6" x14ac:dyDescent="0.25">
      <c r="A1523" s="26">
        <v>20</v>
      </c>
      <c r="B1523" s="26">
        <v>8</v>
      </c>
      <c r="C1523" s="26">
        <v>0.6</v>
      </c>
      <c r="D1523" s="26">
        <v>0.5</v>
      </c>
      <c r="E1523" s="75">
        <v>13</v>
      </c>
      <c r="F1523" s="77">
        <f t="shared" si="28"/>
        <v>3.8461538461538464E-2</v>
      </c>
    </row>
    <row r="1524" spans="1:6" x14ac:dyDescent="0.25">
      <c r="A1524" s="26">
        <v>20</v>
      </c>
      <c r="B1524" s="26">
        <v>8</v>
      </c>
      <c r="C1524" s="26">
        <v>0.6</v>
      </c>
      <c r="D1524" s="26">
        <v>1</v>
      </c>
      <c r="E1524" s="75">
        <v>26</v>
      </c>
      <c r="F1524" s="77">
        <f t="shared" si="28"/>
        <v>3.8461538461538464E-2</v>
      </c>
    </row>
    <row r="1525" spans="1:6" x14ac:dyDescent="0.25">
      <c r="A1525" s="26">
        <v>20</v>
      </c>
      <c r="B1525" s="26">
        <v>8</v>
      </c>
      <c r="C1525" s="26">
        <v>0.6</v>
      </c>
      <c r="D1525" s="26">
        <v>1.5</v>
      </c>
      <c r="E1525" s="75">
        <v>39</v>
      </c>
      <c r="F1525" s="77">
        <f t="shared" si="28"/>
        <v>3.8461538461538464E-2</v>
      </c>
    </row>
    <row r="1526" spans="1:6" x14ac:dyDescent="0.25">
      <c r="A1526" s="26">
        <v>20</v>
      </c>
      <c r="B1526" s="26">
        <v>8</v>
      </c>
      <c r="C1526" s="26">
        <v>0.6</v>
      </c>
      <c r="D1526" s="26">
        <v>2</v>
      </c>
      <c r="E1526" s="75">
        <v>51</v>
      </c>
      <c r="F1526" s="77">
        <f t="shared" si="28"/>
        <v>3.9215686274509803E-2</v>
      </c>
    </row>
    <row r="1527" spans="1:6" x14ac:dyDescent="0.25">
      <c r="A1527" s="26">
        <v>20</v>
      </c>
      <c r="B1527" s="26">
        <v>8</v>
      </c>
      <c r="C1527" s="26">
        <v>0.6</v>
      </c>
      <c r="D1527" s="26">
        <v>2.5</v>
      </c>
      <c r="E1527" s="75">
        <v>64</v>
      </c>
      <c r="F1527" s="77">
        <f t="shared" si="28"/>
        <v>3.90625E-2</v>
      </c>
    </row>
    <row r="1528" spans="1:6" x14ac:dyDescent="0.25">
      <c r="A1528" s="26">
        <v>20</v>
      </c>
      <c r="B1528" s="26">
        <v>8</v>
      </c>
      <c r="C1528" s="26">
        <v>0.6</v>
      </c>
      <c r="D1528" s="26">
        <v>3</v>
      </c>
      <c r="E1528" s="75">
        <v>77</v>
      </c>
      <c r="F1528" s="77">
        <f t="shared" si="28"/>
        <v>3.896103896103896E-2</v>
      </c>
    </row>
    <row r="1529" spans="1:6" x14ac:dyDescent="0.25">
      <c r="A1529" s="26">
        <v>20</v>
      </c>
      <c r="B1529" s="26">
        <v>8</v>
      </c>
      <c r="C1529" s="26">
        <v>0.8</v>
      </c>
      <c r="D1529" s="26">
        <v>0.5</v>
      </c>
      <c r="E1529" s="75">
        <v>13</v>
      </c>
      <c r="F1529" s="77">
        <f t="shared" si="28"/>
        <v>3.8461538461538464E-2</v>
      </c>
    </row>
    <row r="1530" spans="1:6" x14ac:dyDescent="0.25">
      <c r="A1530" s="26">
        <v>20</v>
      </c>
      <c r="B1530" s="26">
        <v>8</v>
      </c>
      <c r="C1530" s="26">
        <v>0.8</v>
      </c>
      <c r="D1530" s="26">
        <v>1</v>
      </c>
      <c r="E1530" s="75">
        <v>26</v>
      </c>
      <c r="F1530" s="77">
        <f t="shared" si="28"/>
        <v>3.8461538461538464E-2</v>
      </c>
    </row>
    <row r="1531" spans="1:6" x14ac:dyDescent="0.25">
      <c r="A1531" s="26">
        <v>20</v>
      </c>
      <c r="B1531" s="26">
        <v>8</v>
      </c>
      <c r="C1531" s="26">
        <v>0.8</v>
      </c>
      <c r="D1531" s="26">
        <v>1.5</v>
      </c>
      <c r="E1531" s="75">
        <v>40</v>
      </c>
      <c r="F1531" s="77">
        <f t="shared" si="28"/>
        <v>3.7499999999999999E-2</v>
      </c>
    </row>
    <row r="1532" spans="1:6" x14ac:dyDescent="0.25">
      <c r="A1532" s="26">
        <v>20</v>
      </c>
      <c r="B1532" s="26">
        <v>8</v>
      </c>
      <c r="C1532" s="26">
        <v>0.8</v>
      </c>
      <c r="D1532" s="26">
        <v>2</v>
      </c>
      <c r="E1532" s="75">
        <v>53</v>
      </c>
      <c r="F1532" s="77">
        <f t="shared" si="28"/>
        <v>3.7735849056603772E-2</v>
      </c>
    </row>
    <row r="1533" spans="1:6" x14ac:dyDescent="0.25">
      <c r="A1533" s="26">
        <v>20</v>
      </c>
      <c r="B1533" s="26">
        <v>8</v>
      </c>
      <c r="C1533" s="26">
        <v>0.8</v>
      </c>
      <c r="D1533" s="26">
        <v>2.5</v>
      </c>
      <c r="E1533" s="75">
        <v>66</v>
      </c>
      <c r="F1533" s="77">
        <f t="shared" si="28"/>
        <v>3.787878787878788E-2</v>
      </c>
    </row>
    <row r="1534" spans="1:6" x14ac:dyDescent="0.25">
      <c r="A1534" s="26">
        <v>20</v>
      </c>
      <c r="B1534" s="26">
        <v>8</v>
      </c>
      <c r="C1534" s="26">
        <v>0.8</v>
      </c>
      <c r="D1534" s="26">
        <v>3</v>
      </c>
      <c r="E1534" s="75">
        <v>79</v>
      </c>
      <c r="F1534" s="77">
        <f t="shared" si="28"/>
        <v>3.7974683544303799E-2</v>
      </c>
    </row>
    <row r="1535" spans="1:6" x14ac:dyDescent="0.25">
      <c r="A1535" s="26">
        <v>20</v>
      </c>
      <c r="B1535" s="26">
        <v>8</v>
      </c>
      <c r="C1535" s="26">
        <v>1</v>
      </c>
      <c r="D1535" s="26">
        <v>0.5</v>
      </c>
      <c r="E1535" s="75">
        <v>14</v>
      </c>
      <c r="F1535" s="77">
        <f t="shared" si="28"/>
        <v>3.5714285714285712E-2</v>
      </c>
    </row>
    <row r="1536" spans="1:6" x14ac:dyDescent="0.25">
      <c r="A1536" s="26">
        <v>20</v>
      </c>
      <c r="B1536" s="26">
        <v>8</v>
      </c>
      <c r="C1536" s="26">
        <v>1</v>
      </c>
      <c r="D1536" s="26">
        <v>1</v>
      </c>
      <c r="E1536" s="75">
        <v>27</v>
      </c>
      <c r="F1536" s="77">
        <f t="shared" si="28"/>
        <v>3.7037037037037035E-2</v>
      </c>
    </row>
    <row r="1537" spans="1:6" x14ac:dyDescent="0.25">
      <c r="A1537" s="26">
        <v>20</v>
      </c>
      <c r="B1537" s="26">
        <v>8</v>
      </c>
      <c r="C1537" s="26">
        <v>1</v>
      </c>
      <c r="D1537" s="26">
        <v>1.5</v>
      </c>
      <c r="E1537" s="75">
        <v>41</v>
      </c>
      <c r="F1537" s="77">
        <f t="shared" si="28"/>
        <v>3.6585365853658534E-2</v>
      </c>
    </row>
    <row r="1538" spans="1:6" x14ac:dyDescent="0.25">
      <c r="A1538" s="26">
        <v>20</v>
      </c>
      <c r="B1538" s="26">
        <v>8</v>
      </c>
      <c r="C1538" s="26">
        <v>1</v>
      </c>
      <c r="D1538" s="26">
        <v>2</v>
      </c>
      <c r="E1538" s="75">
        <v>54</v>
      </c>
      <c r="F1538" s="77">
        <f t="shared" si="28"/>
        <v>3.7037037037037035E-2</v>
      </c>
    </row>
    <row r="1539" spans="1:6" x14ac:dyDescent="0.25">
      <c r="A1539" s="26">
        <v>20</v>
      </c>
      <c r="B1539" s="26">
        <v>8</v>
      </c>
      <c r="C1539" s="26">
        <v>1</v>
      </c>
      <c r="D1539" s="26">
        <v>2.5</v>
      </c>
      <c r="E1539" s="75">
        <v>68</v>
      </c>
      <c r="F1539" s="77">
        <f t="shared" si="28"/>
        <v>3.6764705882352942E-2</v>
      </c>
    </row>
    <row r="1540" spans="1:6" x14ac:dyDescent="0.25">
      <c r="A1540" s="26">
        <v>20</v>
      </c>
      <c r="B1540" s="26">
        <v>8</v>
      </c>
      <c r="C1540" s="26">
        <v>1</v>
      </c>
      <c r="D1540" s="26">
        <v>3</v>
      </c>
      <c r="E1540" s="75">
        <v>81</v>
      </c>
      <c r="F1540" s="77">
        <f t="shared" si="28"/>
        <v>3.7037037037037035E-2</v>
      </c>
    </row>
    <row r="1541" spans="1:6" x14ac:dyDescent="0.25">
      <c r="A1541" s="26">
        <v>20</v>
      </c>
      <c r="B1541" s="26">
        <v>8</v>
      </c>
      <c r="C1541" s="26">
        <v>1.2</v>
      </c>
      <c r="D1541" s="26">
        <v>0.5</v>
      </c>
      <c r="E1541" s="75">
        <v>14</v>
      </c>
      <c r="F1541" s="77">
        <f t="shared" ref="F1541:F1604" si="29">D1541/E1541</f>
        <v>3.5714285714285712E-2</v>
      </c>
    </row>
    <row r="1542" spans="1:6" x14ac:dyDescent="0.25">
      <c r="A1542" s="26">
        <v>20</v>
      </c>
      <c r="B1542" s="26">
        <v>8</v>
      </c>
      <c r="C1542" s="26">
        <v>1.2</v>
      </c>
      <c r="D1542" s="26">
        <v>1</v>
      </c>
      <c r="E1542" s="75">
        <v>28</v>
      </c>
      <c r="F1542" s="77">
        <f t="shared" si="29"/>
        <v>3.5714285714285712E-2</v>
      </c>
    </row>
    <row r="1543" spans="1:6" x14ac:dyDescent="0.25">
      <c r="A1543" s="26">
        <v>20</v>
      </c>
      <c r="B1543" s="26">
        <v>8</v>
      </c>
      <c r="C1543" s="26">
        <v>1.2</v>
      </c>
      <c r="D1543" s="26">
        <v>1.5</v>
      </c>
      <c r="E1543" s="75">
        <v>42</v>
      </c>
      <c r="F1543" s="77">
        <f t="shared" si="29"/>
        <v>3.5714285714285712E-2</v>
      </c>
    </row>
    <row r="1544" spans="1:6" x14ac:dyDescent="0.25">
      <c r="A1544" s="26">
        <v>20</v>
      </c>
      <c r="B1544" s="26">
        <v>8</v>
      </c>
      <c r="C1544" s="26">
        <v>1.2</v>
      </c>
      <c r="D1544" s="26">
        <v>2</v>
      </c>
      <c r="E1544" s="75">
        <v>55</v>
      </c>
      <c r="F1544" s="77">
        <f t="shared" si="29"/>
        <v>3.6363636363636362E-2</v>
      </c>
    </row>
    <row r="1545" spans="1:6" x14ac:dyDescent="0.25">
      <c r="A1545" s="26">
        <v>20</v>
      </c>
      <c r="B1545" s="26">
        <v>8</v>
      </c>
      <c r="C1545" s="26">
        <v>1.2</v>
      </c>
      <c r="D1545" s="26">
        <v>2.5</v>
      </c>
      <c r="E1545" s="75">
        <v>69</v>
      </c>
      <c r="F1545" s="77">
        <f t="shared" si="29"/>
        <v>3.6231884057971016E-2</v>
      </c>
    </row>
    <row r="1546" spans="1:6" x14ac:dyDescent="0.25">
      <c r="A1546" s="26">
        <v>20</v>
      </c>
      <c r="B1546" s="26">
        <v>8</v>
      </c>
      <c r="C1546" s="26">
        <v>1.2</v>
      </c>
      <c r="D1546" s="26">
        <v>3</v>
      </c>
      <c r="E1546" s="75">
        <v>83</v>
      </c>
      <c r="F1546" s="77">
        <f t="shared" si="29"/>
        <v>3.614457831325301E-2</v>
      </c>
    </row>
    <row r="1547" spans="1:6" x14ac:dyDescent="0.25">
      <c r="A1547" s="26">
        <v>20</v>
      </c>
      <c r="B1547" s="26">
        <v>8</v>
      </c>
      <c r="C1547" s="26">
        <v>1.4</v>
      </c>
      <c r="D1547" s="26">
        <v>0.5</v>
      </c>
      <c r="E1547" s="75">
        <v>14</v>
      </c>
      <c r="F1547" s="77">
        <f t="shared" si="29"/>
        <v>3.5714285714285712E-2</v>
      </c>
    </row>
    <row r="1548" spans="1:6" x14ac:dyDescent="0.25">
      <c r="A1548" s="26">
        <v>20</v>
      </c>
      <c r="B1548" s="26">
        <v>8</v>
      </c>
      <c r="C1548" s="26">
        <v>1.4</v>
      </c>
      <c r="D1548" s="26">
        <v>1</v>
      </c>
      <c r="E1548" s="75">
        <v>28</v>
      </c>
      <c r="F1548" s="77">
        <f t="shared" si="29"/>
        <v>3.5714285714285712E-2</v>
      </c>
    </row>
    <row r="1549" spans="1:6" x14ac:dyDescent="0.25">
      <c r="A1549" s="26">
        <v>20</v>
      </c>
      <c r="B1549" s="26">
        <v>8</v>
      </c>
      <c r="C1549" s="26">
        <v>1.4</v>
      </c>
      <c r="D1549" s="26">
        <v>1.5</v>
      </c>
      <c r="E1549" s="75">
        <v>43</v>
      </c>
      <c r="F1549" s="77">
        <f t="shared" si="29"/>
        <v>3.4883720930232558E-2</v>
      </c>
    </row>
    <row r="1550" spans="1:6" x14ac:dyDescent="0.25">
      <c r="A1550" s="26">
        <v>20</v>
      </c>
      <c r="B1550" s="26">
        <v>8</v>
      </c>
      <c r="C1550" s="26">
        <v>1.4</v>
      </c>
      <c r="D1550" s="26">
        <v>2</v>
      </c>
      <c r="E1550" s="75">
        <v>57</v>
      </c>
      <c r="F1550" s="77">
        <f t="shared" si="29"/>
        <v>3.5087719298245612E-2</v>
      </c>
    </row>
    <row r="1551" spans="1:6" x14ac:dyDescent="0.25">
      <c r="A1551" s="26">
        <v>20</v>
      </c>
      <c r="B1551" s="26">
        <v>8</v>
      </c>
      <c r="C1551" s="26">
        <v>1.4</v>
      </c>
      <c r="D1551" s="26">
        <v>2.5</v>
      </c>
      <c r="E1551" s="75">
        <v>71</v>
      </c>
      <c r="F1551" s="77">
        <f t="shared" si="29"/>
        <v>3.5211267605633804E-2</v>
      </c>
    </row>
    <row r="1552" spans="1:6" x14ac:dyDescent="0.25">
      <c r="A1552" s="26">
        <v>20</v>
      </c>
      <c r="B1552" s="26">
        <v>8</v>
      </c>
      <c r="C1552" s="26">
        <v>1.4</v>
      </c>
      <c r="D1552" s="26">
        <v>3</v>
      </c>
      <c r="E1552" s="75">
        <v>85</v>
      </c>
      <c r="F1552" s="77">
        <f t="shared" si="29"/>
        <v>3.5294117647058823E-2</v>
      </c>
    </row>
    <row r="1553" spans="1:6" x14ac:dyDescent="0.25">
      <c r="A1553" s="26">
        <v>20</v>
      </c>
      <c r="B1553" s="26">
        <v>8</v>
      </c>
      <c r="C1553" s="26">
        <v>1.6</v>
      </c>
      <c r="D1553" s="26">
        <v>0.5</v>
      </c>
      <c r="E1553" s="75">
        <v>15</v>
      </c>
      <c r="F1553" s="77">
        <f t="shared" si="29"/>
        <v>3.3333333333333333E-2</v>
      </c>
    </row>
    <row r="1554" spans="1:6" x14ac:dyDescent="0.25">
      <c r="A1554" s="26">
        <v>20</v>
      </c>
      <c r="B1554" s="26">
        <v>8</v>
      </c>
      <c r="C1554" s="26">
        <v>1.6</v>
      </c>
      <c r="D1554" s="26">
        <v>1</v>
      </c>
      <c r="E1554" s="75">
        <v>29</v>
      </c>
      <c r="F1554" s="77">
        <f t="shared" si="29"/>
        <v>3.4482758620689655E-2</v>
      </c>
    </row>
    <row r="1555" spans="1:6" x14ac:dyDescent="0.25">
      <c r="A1555" s="26">
        <v>20</v>
      </c>
      <c r="B1555" s="26">
        <v>8</v>
      </c>
      <c r="C1555" s="26">
        <v>1.6</v>
      </c>
      <c r="D1555" s="26">
        <v>1.5</v>
      </c>
      <c r="E1555" s="75">
        <v>44</v>
      </c>
      <c r="F1555" s="77">
        <f t="shared" si="29"/>
        <v>3.4090909090909088E-2</v>
      </c>
    </row>
    <row r="1556" spans="1:6" x14ac:dyDescent="0.25">
      <c r="A1556" s="26">
        <v>20</v>
      </c>
      <c r="B1556" s="26">
        <v>8</v>
      </c>
      <c r="C1556" s="26">
        <v>1.6</v>
      </c>
      <c r="D1556" s="26">
        <v>2</v>
      </c>
      <c r="E1556" s="75">
        <v>58</v>
      </c>
      <c r="F1556" s="77">
        <f t="shared" si="29"/>
        <v>3.4482758620689655E-2</v>
      </c>
    </row>
    <row r="1557" spans="1:6" x14ac:dyDescent="0.25">
      <c r="A1557" s="26">
        <v>20</v>
      </c>
      <c r="B1557" s="26">
        <v>8</v>
      </c>
      <c r="C1557" s="26">
        <v>1.6</v>
      </c>
      <c r="D1557" s="26">
        <v>2.5</v>
      </c>
      <c r="E1557" s="75">
        <v>73</v>
      </c>
      <c r="F1557" s="77">
        <f t="shared" si="29"/>
        <v>3.4246575342465752E-2</v>
      </c>
    </row>
    <row r="1558" spans="1:6" x14ac:dyDescent="0.25">
      <c r="A1558" s="26">
        <v>20</v>
      </c>
      <c r="B1558" s="26">
        <v>8</v>
      </c>
      <c r="C1558" s="26">
        <v>1.6</v>
      </c>
      <c r="D1558" s="26">
        <v>3</v>
      </c>
      <c r="E1558" s="75">
        <v>87</v>
      </c>
      <c r="F1558" s="77">
        <f t="shared" si="29"/>
        <v>3.4482758620689655E-2</v>
      </c>
    </row>
    <row r="1559" spans="1:6" x14ac:dyDescent="0.25">
      <c r="A1559" s="26">
        <v>20</v>
      </c>
      <c r="B1559" s="26">
        <v>8</v>
      </c>
      <c r="C1559" s="26">
        <v>1.8</v>
      </c>
      <c r="D1559" s="26">
        <v>0.5</v>
      </c>
      <c r="E1559" s="75">
        <v>15</v>
      </c>
      <c r="F1559" s="77">
        <f t="shared" si="29"/>
        <v>3.3333333333333333E-2</v>
      </c>
    </row>
    <row r="1560" spans="1:6" x14ac:dyDescent="0.25">
      <c r="A1560" s="26">
        <v>20</v>
      </c>
      <c r="B1560" s="26">
        <v>8</v>
      </c>
      <c r="C1560" s="26">
        <v>1.8</v>
      </c>
      <c r="D1560" s="26">
        <v>1</v>
      </c>
      <c r="E1560" s="75">
        <v>30</v>
      </c>
      <c r="F1560" s="77">
        <f t="shared" si="29"/>
        <v>3.3333333333333333E-2</v>
      </c>
    </row>
    <row r="1561" spans="1:6" x14ac:dyDescent="0.25">
      <c r="A1561" s="26">
        <v>20</v>
      </c>
      <c r="B1561" s="26">
        <v>8</v>
      </c>
      <c r="C1561" s="26">
        <v>1.8</v>
      </c>
      <c r="D1561" s="26">
        <v>1.5</v>
      </c>
      <c r="E1561" s="75">
        <v>45</v>
      </c>
      <c r="F1561" s="77">
        <f t="shared" si="29"/>
        <v>3.3333333333333333E-2</v>
      </c>
    </row>
    <row r="1562" spans="1:6" x14ac:dyDescent="0.25">
      <c r="A1562" s="26">
        <v>20</v>
      </c>
      <c r="B1562" s="26">
        <v>8</v>
      </c>
      <c r="C1562" s="26">
        <v>1.8</v>
      </c>
      <c r="D1562" s="26">
        <v>2</v>
      </c>
      <c r="E1562" s="75">
        <v>59</v>
      </c>
      <c r="F1562" s="77">
        <f t="shared" si="29"/>
        <v>3.3898305084745763E-2</v>
      </c>
    </row>
    <row r="1563" spans="1:6" x14ac:dyDescent="0.25">
      <c r="A1563" s="26">
        <v>20</v>
      </c>
      <c r="B1563" s="26">
        <v>8</v>
      </c>
      <c r="C1563" s="26">
        <v>1.8</v>
      </c>
      <c r="D1563" s="26">
        <v>2.5</v>
      </c>
      <c r="E1563" s="75">
        <v>74</v>
      </c>
      <c r="F1563" s="77">
        <f t="shared" si="29"/>
        <v>3.3783783783783786E-2</v>
      </c>
    </row>
    <row r="1564" spans="1:6" x14ac:dyDescent="0.25">
      <c r="A1564" s="26">
        <v>20</v>
      </c>
      <c r="B1564" s="26">
        <v>8</v>
      </c>
      <c r="C1564" s="26">
        <v>1.8</v>
      </c>
      <c r="D1564" s="26">
        <v>3</v>
      </c>
      <c r="E1564" s="75">
        <v>89</v>
      </c>
      <c r="F1564" s="77">
        <f t="shared" si="29"/>
        <v>3.3707865168539325E-2</v>
      </c>
    </row>
    <row r="1565" spans="1:6" x14ac:dyDescent="0.25">
      <c r="A1565" s="26">
        <v>20</v>
      </c>
      <c r="B1565" s="26">
        <v>8</v>
      </c>
      <c r="C1565" s="26">
        <v>2</v>
      </c>
      <c r="D1565" s="26">
        <v>0.5</v>
      </c>
      <c r="E1565" s="75">
        <v>15</v>
      </c>
      <c r="F1565" s="77">
        <f t="shared" si="29"/>
        <v>3.3333333333333333E-2</v>
      </c>
    </row>
    <row r="1566" spans="1:6" x14ac:dyDescent="0.25">
      <c r="A1566" s="26">
        <v>20</v>
      </c>
      <c r="B1566" s="26">
        <v>8</v>
      </c>
      <c r="C1566" s="26">
        <v>2</v>
      </c>
      <c r="D1566" s="26">
        <v>1</v>
      </c>
      <c r="E1566" s="75">
        <v>30</v>
      </c>
      <c r="F1566" s="77">
        <f t="shared" si="29"/>
        <v>3.3333333333333333E-2</v>
      </c>
    </row>
    <row r="1567" spans="1:6" x14ac:dyDescent="0.25">
      <c r="A1567" s="26">
        <v>20</v>
      </c>
      <c r="B1567" s="26">
        <v>8</v>
      </c>
      <c r="C1567" s="26">
        <v>2</v>
      </c>
      <c r="D1567" s="26">
        <v>1.5</v>
      </c>
      <c r="E1567" s="75">
        <v>46</v>
      </c>
      <c r="F1567" s="77">
        <f t="shared" si="29"/>
        <v>3.2608695652173912E-2</v>
      </c>
    </row>
    <row r="1568" spans="1:6" x14ac:dyDescent="0.25">
      <c r="A1568" s="26">
        <v>20</v>
      </c>
      <c r="B1568" s="26">
        <v>8</v>
      </c>
      <c r="C1568" s="26">
        <v>2</v>
      </c>
      <c r="D1568" s="26">
        <v>2</v>
      </c>
      <c r="E1568" s="75">
        <v>61</v>
      </c>
      <c r="F1568" s="77">
        <f t="shared" si="29"/>
        <v>3.2786885245901641E-2</v>
      </c>
    </row>
    <row r="1569" spans="1:6" x14ac:dyDescent="0.25">
      <c r="A1569" s="26">
        <v>20</v>
      </c>
      <c r="B1569" s="26">
        <v>8</v>
      </c>
      <c r="C1569" s="26">
        <v>2</v>
      </c>
      <c r="D1569" s="26">
        <v>2.5</v>
      </c>
      <c r="E1569" s="75">
        <v>76</v>
      </c>
      <c r="F1569" s="77">
        <f t="shared" si="29"/>
        <v>3.2894736842105261E-2</v>
      </c>
    </row>
    <row r="1570" spans="1:6" x14ac:dyDescent="0.25">
      <c r="A1570" s="26">
        <v>20</v>
      </c>
      <c r="B1570" s="26">
        <v>8</v>
      </c>
      <c r="C1570" s="26">
        <v>2</v>
      </c>
      <c r="D1570" s="26">
        <v>3</v>
      </c>
      <c r="E1570" s="75">
        <v>91</v>
      </c>
      <c r="F1570" s="77">
        <f t="shared" si="29"/>
        <v>3.2967032967032968E-2</v>
      </c>
    </row>
    <row r="1571" spans="1:6" x14ac:dyDescent="0.25">
      <c r="A1571" s="26">
        <v>20</v>
      </c>
      <c r="B1571" s="26">
        <v>8</v>
      </c>
      <c r="C1571" s="26">
        <v>2.2000000000000002</v>
      </c>
      <c r="D1571" s="26">
        <v>0.5</v>
      </c>
      <c r="E1571" s="75">
        <v>16</v>
      </c>
      <c r="F1571" s="77">
        <f t="shared" si="29"/>
        <v>3.125E-2</v>
      </c>
    </row>
    <row r="1572" spans="1:6" x14ac:dyDescent="0.25">
      <c r="A1572" s="26">
        <v>20</v>
      </c>
      <c r="B1572" s="26">
        <v>8</v>
      </c>
      <c r="C1572" s="26">
        <v>2.2000000000000002</v>
      </c>
      <c r="D1572" s="26">
        <v>1</v>
      </c>
      <c r="E1572" s="75">
        <v>31</v>
      </c>
      <c r="F1572" s="77">
        <f t="shared" si="29"/>
        <v>3.2258064516129031E-2</v>
      </c>
    </row>
    <row r="1573" spans="1:6" x14ac:dyDescent="0.25">
      <c r="A1573" s="26">
        <v>20</v>
      </c>
      <c r="B1573" s="26">
        <v>8</v>
      </c>
      <c r="C1573" s="26">
        <v>2.2000000000000002</v>
      </c>
      <c r="D1573" s="26">
        <v>1.5</v>
      </c>
      <c r="E1573" s="75">
        <v>47</v>
      </c>
      <c r="F1573" s="77">
        <f t="shared" si="29"/>
        <v>3.1914893617021274E-2</v>
      </c>
    </row>
    <row r="1574" spans="1:6" x14ac:dyDescent="0.25">
      <c r="A1574" s="26">
        <v>20</v>
      </c>
      <c r="B1574" s="26">
        <v>8</v>
      </c>
      <c r="C1574" s="26">
        <v>2.2000000000000002</v>
      </c>
      <c r="D1574" s="26">
        <v>2</v>
      </c>
      <c r="E1574" s="75">
        <v>62</v>
      </c>
      <c r="F1574" s="77">
        <f t="shared" si="29"/>
        <v>3.2258064516129031E-2</v>
      </c>
    </row>
    <row r="1575" spans="1:6" x14ac:dyDescent="0.25">
      <c r="A1575" s="26">
        <v>20</v>
      </c>
      <c r="B1575" s="26">
        <v>8</v>
      </c>
      <c r="C1575" s="26">
        <v>2.2000000000000002</v>
      </c>
      <c r="D1575" s="26">
        <v>2.5</v>
      </c>
      <c r="E1575" s="75">
        <v>78</v>
      </c>
      <c r="F1575" s="77">
        <f t="shared" si="29"/>
        <v>3.2051282051282048E-2</v>
      </c>
    </row>
    <row r="1576" spans="1:6" x14ac:dyDescent="0.25">
      <c r="A1576" s="26">
        <v>20</v>
      </c>
      <c r="B1576" s="26">
        <v>8</v>
      </c>
      <c r="C1576" s="26">
        <v>2.2000000000000002</v>
      </c>
      <c r="D1576" s="26">
        <v>3</v>
      </c>
      <c r="E1576" s="75">
        <v>93</v>
      </c>
      <c r="F1576" s="77">
        <f t="shared" si="29"/>
        <v>3.2258064516129031E-2</v>
      </c>
    </row>
    <row r="1577" spans="1:6" x14ac:dyDescent="0.25">
      <c r="A1577" s="26">
        <v>20</v>
      </c>
      <c r="B1577" s="26">
        <v>8</v>
      </c>
      <c r="C1577" s="26">
        <v>2.4</v>
      </c>
      <c r="D1577" s="26">
        <v>0.5</v>
      </c>
      <c r="E1577" s="75">
        <v>16</v>
      </c>
      <c r="F1577" s="77">
        <f t="shared" si="29"/>
        <v>3.125E-2</v>
      </c>
    </row>
    <row r="1578" spans="1:6" x14ac:dyDescent="0.25">
      <c r="A1578" s="26">
        <v>20</v>
      </c>
      <c r="B1578" s="26">
        <v>8</v>
      </c>
      <c r="C1578" s="26">
        <v>2.4</v>
      </c>
      <c r="D1578" s="26">
        <v>1</v>
      </c>
      <c r="E1578" s="75">
        <v>32</v>
      </c>
      <c r="F1578" s="77">
        <f t="shared" si="29"/>
        <v>3.125E-2</v>
      </c>
    </row>
    <row r="1579" spans="1:6" x14ac:dyDescent="0.25">
      <c r="A1579" s="26">
        <v>20</v>
      </c>
      <c r="B1579" s="26">
        <v>8</v>
      </c>
      <c r="C1579" s="26">
        <v>2.4</v>
      </c>
      <c r="D1579" s="26">
        <v>1.5</v>
      </c>
      <c r="E1579" s="75">
        <v>48</v>
      </c>
      <c r="F1579" s="77">
        <f t="shared" si="29"/>
        <v>3.125E-2</v>
      </c>
    </row>
    <row r="1580" spans="1:6" x14ac:dyDescent="0.25">
      <c r="A1580" s="26">
        <v>20</v>
      </c>
      <c r="B1580" s="26">
        <v>8</v>
      </c>
      <c r="C1580" s="26">
        <v>2.4</v>
      </c>
      <c r="D1580" s="26">
        <v>2</v>
      </c>
      <c r="E1580" s="75">
        <v>63</v>
      </c>
      <c r="F1580" s="77">
        <f t="shared" si="29"/>
        <v>3.1746031746031744E-2</v>
      </c>
    </row>
    <row r="1581" spans="1:6" x14ac:dyDescent="0.25">
      <c r="A1581" s="26">
        <v>20</v>
      </c>
      <c r="B1581" s="26">
        <v>8</v>
      </c>
      <c r="C1581" s="26">
        <v>2.4</v>
      </c>
      <c r="D1581" s="26">
        <v>2.5</v>
      </c>
      <c r="E1581" s="75">
        <v>79</v>
      </c>
      <c r="F1581" s="77">
        <f t="shared" si="29"/>
        <v>3.1645569620253167E-2</v>
      </c>
    </row>
    <row r="1582" spans="1:6" x14ac:dyDescent="0.25">
      <c r="A1582" s="26">
        <v>20</v>
      </c>
      <c r="B1582" s="26">
        <v>8</v>
      </c>
      <c r="C1582" s="26">
        <v>2.4</v>
      </c>
      <c r="D1582" s="26">
        <v>3</v>
      </c>
      <c r="E1582" s="75">
        <v>95</v>
      </c>
      <c r="F1582" s="77">
        <f t="shared" si="29"/>
        <v>3.1578947368421054E-2</v>
      </c>
    </row>
    <row r="1583" spans="1:6" x14ac:dyDescent="0.25">
      <c r="A1583" s="26">
        <v>20</v>
      </c>
      <c r="B1583" s="26">
        <v>8</v>
      </c>
      <c r="C1583" s="26">
        <v>2.6</v>
      </c>
      <c r="D1583" s="26">
        <v>0.5</v>
      </c>
      <c r="E1583" s="75">
        <v>16</v>
      </c>
      <c r="F1583" s="77">
        <f t="shared" si="29"/>
        <v>3.125E-2</v>
      </c>
    </row>
    <row r="1584" spans="1:6" x14ac:dyDescent="0.25">
      <c r="A1584" s="26">
        <v>20</v>
      </c>
      <c r="B1584" s="26">
        <v>8</v>
      </c>
      <c r="C1584" s="26">
        <v>2.6</v>
      </c>
      <c r="D1584" s="26">
        <v>1</v>
      </c>
      <c r="E1584" s="75">
        <v>32</v>
      </c>
      <c r="F1584" s="77">
        <f t="shared" si="29"/>
        <v>3.125E-2</v>
      </c>
    </row>
    <row r="1585" spans="1:6" x14ac:dyDescent="0.25">
      <c r="A1585" s="26">
        <v>20</v>
      </c>
      <c r="B1585" s="26">
        <v>8</v>
      </c>
      <c r="C1585" s="26">
        <v>2.6</v>
      </c>
      <c r="D1585" s="26">
        <v>1.5</v>
      </c>
      <c r="E1585" s="75">
        <v>49</v>
      </c>
      <c r="F1585" s="77">
        <f t="shared" si="29"/>
        <v>3.0612244897959183E-2</v>
      </c>
    </row>
    <row r="1586" spans="1:6" x14ac:dyDescent="0.25">
      <c r="A1586" s="26">
        <v>20</v>
      </c>
      <c r="B1586" s="26">
        <v>8</v>
      </c>
      <c r="C1586" s="26">
        <v>2.6</v>
      </c>
      <c r="D1586" s="26">
        <v>2</v>
      </c>
      <c r="E1586" s="75">
        <v>65</v>
      </c>
      <c r="F1586" s="77">
        <f t="shared" si="29"/>
        <v>3.0769230769230771E-2</v>
      </c>
    </row>
    <row r="1587" spans="1:6" x14ac:dyDescent="0.25">
      <c r="A1587" s="26">
        <v>20</v>
      </c>
      <c r="B1587" s="26">
        <v>8</v>
      </c>
      <c r="C1587" s="26">
        <v>2.6</v>
      </c>
      <c r="D1587" s="26">
        <v>2.5</v>
      </c>
      <c r="E1587" s="75">
        <v>81</v>
      </c>
      <c r="F1587" s="77">
        <f t="shared" si="29"/>
        <v>3.0864197530864196E-2</v>
      </c>
    </row>
    <row r="1588" spans="1:6" x14ac:dyDescent="0.25">
      <c r="A1588" s="26">
        <v>20</v>
      </c>
      <c r="B1588" s="26">
        <v>8</v>
      </c>
      <c r="C1588" s="26">
        <v>2.6</v>
      </c>
      <c r="D1588" s="26">
        <v>3</v>
      </c>
      <c r="E1588" s="75">
        <v>97</v>
      </c>
      <c r="F1588" s="77">
        <f t="shared" si="29"/>
        <v>3.0927835051546393E-2</v>
      </c>
    </row>
    <row r="1589" spans="1:6" x14ac:dyDescent="0.25">
      <c r="A1589" s="26">
        <v>20</v>
      </c>
      <c r="B1589" s="26">
        <v>8</v>
      </c>
      <c r="C1589" s="26">
        <v>2.8</v>
      </c>
      <c r="D1589" s="26">
        <v>0.5</v>
      </c>
      <c r="E1589" s="75">
        <v>17</v>
      </c>
      <c r="F1589" s="77">
        <f t="shared" si="29"/>
        <v>2.9411764705882353E-2</v>
      </c>
    </row>
    <row r="1590" spans="1:6" x14ac:dyDescent="0.25">
      <c r="A1590" s="26">
        <v>20</v>
      </c>
      <c r="B1590" s="26">
        <v>8</v>
      </c>
      <c r="C1590" s="26">
        <v>2.8</v>
      </c>
      <c r="D1590" s="26">
        <v>1</v>
      </c>
      <c r="E1590" s="75">
        <v>33</v>
      </c>
      <c r="F1590" s="77">
        <f t="shared" si="29"/>
        <v>3.0303030303030304E-2</v>
      </c>
    </row>
    <row r="1591" spans="1:6" x14ac:dyDescent="0.25">
      <c r="A1591" s="26">
        <v>20</v>
      </c>
      <c r="B1591" s="26">
        <v>8</v>
      </c>
      <c r="C1591" s="26">
        <v>2.8</v>
      </c>
      <c r="D1591" s="26">
        <v>1.5</v>
      </c>
      <c r="E1591" s="75">
        <v>50</v>
      </c>
      <c r="F1591" s="77">
        <f t="shared" si="29"/>
        <v>0.03</v>
      </c>
    </row>
    <row r="1592" spans="1:6" x14ac:dyDescent="0.25">
      <c r="A1592" s="26">
        <v>20</v>
      </c>
      <c r="B1592" s="26">
        <v>8</v>
      </c>
      <c r="C1592" s="26">
        <v>2.8</v>
      </c>
      <c r="D1592" s="26">
        <v>2</v>
      </c>
      <c r="E1592" s="75">
        <v>66</v>
      </c>
      <c r="F1592" s="77">
        <f t="shared" si="29"/>
        <v>3.0303030303030304E-2</v>
      </c>
    </row>
    <row r="1593" spans="1:6" x14ac:dyDescent="0.25">
      <c r="A1593" s="26">
        <v>20</v>
      </c>
      <c r="B1593" s="26">
        <v>8</v>
      </c>
      <c r="C1593" s="26">
        <v>2.8</v>
      </c>
      <c r="D1593" s="26">
        <v>2.5</v>
      </c>
      <c r="E1593" s="75">
        <v>83</v>
      </c>
      <c r="F1593" s="77">
        <f t="shared" si="29"/>
        <v>3.0120481927710843E-2</v>
      </c>
    </row>
    <row r="1594" spans="1:6" x14ac:dyDescent="0.25">
      <c r="A1594" s="26">
        <v>20</v>
      </c>
      <c r="B1594" s="26">
        <v>8</v>
      </c>
      <c r="C1594" s="26">
        <v>2.8</v>
      </c>
      <c r="D1594" s="26">
        <v>3</v>
      </c>
      <c r="E1594" s="75">
        <v>99</v>
      </c>
      <c r="F1594" s="77">
        <f t="shared" si="29"/>
        <v>3.0303030303030304E-2</v>
      </c>
    </row>
    <row r="1595" spans="1:6" x14ac:dyDescent="0.25">
      <c r="A1595" s="26">
        <v>20</v>
      </c>
      <c r="B1595" s="26">
        <v>8</v>
      </c>
      <c r="C1595" s="26">
        <v>3</v>
      </c>
      <c r="D1595" s="26">
        <v>0.5</v>
      </c>
      <c r="E1595" s="75">
        <v>17</v>
      </c>
      <c r="F1595" s="77">
        <f t="shared" si="29"/>
        <v>2.9411764705882353E-2</v>
      </c>
    </row>
    <row r="1596" spans="1:6" x14ac:dyDescent="0.25">
      <c r="A1596" s="26">
        <v>20</v>
      </c>
      <c r="B1596" s="26">
        <v>8</v>
      </c>
      <c r="C1596" s="26">
        <v>3</v>
      </c>
      <c r="D1596" s="26">
        <v>1</v>
      </c>
      <c r="E1596" s="75">
        <v>34</v>
      </c>
      <c r="F1596" s="77">
        <f t="shared" si="29"/>
        <v>2.9411764705882353E-2</v>
      </c>
    </row>
    <row r="1597" spans="1:6" x14ac:dyDescent="0.25">
      <c r="A1597" s="26">
        <v>20</v>
      </c>
      <c r="B1597" s="26">
        <v>8</v>
      </c>
      <c r="C1597" s="26">
        <v>3</v>
      </c>
      <c r="D1597" s="26">
        <v>1.5</v>
      </c>
      <c r="E1597" s="75">
        <v>51</v>
      </c>
      <c r="F1597" s="77">
        <f t="shared" si="29"/>
        <v>2.9411764705882353E-2</v>
      </c>
    </row>
    <row r="1598" spans="1:6" x14ac:dyDescent="0.25">
      <c r="A1598" s="26">
        <v>20</v>
      </c>
      <c r="B1598" s="26">
        <v>8</v>
      </c>
      <c r="C1598" s="26">
        <v>3</v>
      </c>
      <c r="D1598" s="26">
        <v>2</v>
      </c>
      <c r="E1598" s="75">
        <v>67</v>
      </c>
      <c r="F1598" s="77">
        <f t="shared" si="29"/>
        <v>2.9850746268656716E-2</v>
      </c>
    </row>
    <row r="1599" spans="1:6" x14ac:dyDescent="0.25">
      <c r="A1599" s="26">
        <v>20</v>
      </c>
      <c r="B1599" s="26">
        <v>8</v>
      </c>
      <c r="C1599" s="26">
        <v>3</v>
      </c>
      <c r="D1599" s="26">
        <v>2.5</v>
      </c>
      <c r="E1599" s="75">
        <v>84</v>
      </c>
      <c r="F1599" s="77">
        <f t="shared" si="29"/>
        <v>2.976190476190476E-2</v>
      </c>
    </row>
    <row r="1600" spans="1:6" x14ac:dyDescent="0.25">
      <c r="A1600" s="26">
        <v>20</v>
      </c>
      <c r="B1600" s="26">
        <v>8</v>
      </c>
      <c r="C1600" s="26">
        <v>3</v>
      </c>
      <c r="D1600" s="26">
        <v>3</v>
      </c>
      <c r="E1600" s="75">
        <v>101</v>
      </c>
      <c r="F1600" s="77">
        <f t="shared" si="29"/>
        <v>2.9702970297029702E-2</v>
      </c>
    </row>
    <row r="1601" spans="1:6" x14ac:dyDescent="0.25">
      <c r="A1601" s="26">
        <v>20</v>
      </c>
      <c r="B1601" s="26">
        <v>8.5</v>
      </c>
      <c r="C1601" s="26">
        <v>0.4</v>
      </c>
      <c r="D1601" s="26">
        <v>0.5</v>
      </c>
      <c r="E1601" s="75">
        <v>15</v>
      </c>
      <c r="F1601" s="77">
        <f t="shared" si="29"/>
        <v>3.3333333333333333E-2</v>
      </c>
    </row>
    <row r="1602" spans="1:6" x14ac:dyDescent="0.25">
      <c r="A1602" s="26">
        <v>20</v>
      </c>
      <c r="B1602" s="26">
        <v>8.5</v>
      </c>
      <c r="C1602" s="26">
        <v>0.4</v>
      </c>
      <c r="D1602" s="26">
        <v>1</v>
      </c>
      <c r="E1602" s="75">
        <v>30</v>
      </c>
      <c r="F1602" s="77">
        <f t="shared" si="29"/>
        <v>3.3333333333333333E-2</v>
      </c>
    </row>
    <row r="1603" spans="1:6" x14ac:dyDescent="0.25">
      <c r="A1603" s="26">
        <v>20</v>
      </c>
      <c r="B1603" s="26">
        <v>8.5</v>
      </c>
      <c r="C1603" s="26">
        <v>0.4</v>
      </c>
      <c r="D1603" s="26">
        <v>1.5</v>
      </c>
      <c r="E1603" s="75">
        <v>45</v>
      </c>
      <c r="F1603" s="77">
        <f t="shared" si="29"/>
        <v>3.3333333333333333E-2</v>
      </c>
    </row>
    <row r="1604" spans="1:6" x14ac:dyDescent="0.25">
      <c r="A1604" s="26">
        <v>20</v>
      </c>
      <c r="B1604" s="26">
        <v>8.5</v>
      </c>
      <c r="C1604" s="26">
        <v>0.4</v>
      </c>
      <c r="D1604" s="26">
        <v>2</v>
      </c>
      <c r="E1604" s="75">
        <v>59</v>
      </c>
      <c r="F1604" s="77">
        <f t="shared" si="29"/>
        <v>3.3898305084745763E-2</v>
      </c>
    </row>
    <row r="1605" spans="1:6" x14ac:dyDescent="0.25">
      <c r="A1605" s="26">
        <v>20</v>
      </c>
      <c r="B1605" s="26">
        <v>8.5</v>
      </c>
      <c r="C1605" s="26">
        <v>0.4</v>
      </c>
      <c r="D1605" s="26">
        <v>2.5</v>
      </c>
      <c r="E1605" s="75">
        <v>74</v>
      </c>
      <c r="F1605" s="77">
        <f t="shared" ref="F1605:F1668" si="30">D1605/E1605</f>
        <v>3.3783783783783786E-2</v>
      </c>
    </row>
    <row r="1606" spans="1:6" x14ac:dyDescent="0.25">
      <c r="A1606" s="26">
        <v>20</v>
      </c>
      <c r="B1606" s="26">
        <v>8.5</v>
      </c>
      <c r="C1606" s="26">
        <v>0.4</v>
      </c>
      <c r="D1606" s="26">
        <v>3</v>
      </c>
      <c r="E1606" s="75">
        <v>89</v>
      </c>
      <c r="F1606" s="77">
        <f t="shared" si="30"/>
        <v>3.3707865168539325E-2</v>
      </c>
    </row>
    <row r="1607" spans="1:6" x14ac:dyDescent="0.25">
      <c r="A1607" s="26">
        <v>20</v>
      </c>
      <c r="B1607" s="26">
        <v>8.5</v>
      </c>
      <c r="C1607" s="26">
        <v>0.6</v>
      </c>
      <c r="D1607" s="26">
        <v>0.5</v>
      </c>
      <c r="E1607" s="75">
        <v>15</v>
      </c>
      <c r="F1607" s="77">
        <f t="shared" si="30"/>
        <v>3.3333333333333333E-2</v>
      </c>
    </row>
    <row r="1608" spans="1:6" x14ac:dyDescent="0.25">
      <c r="A1608" s="26">
        <v>20</v>
      </c>
      <c r="B1608" s="26">
        <v>8.5</v>
      </c>
      <c r="C1608" s="26">
        <v>0.6</v>
      </c>
      <c r="D1608" s="26">
        <v>1</v>
      </c>
      <c r="E1608" s="75">
        <v>31</v>
      </c>
      <c r="F1608" s="77">
        <f t="shared" si="30"/>
        <v>3.2258064516129031E-2</v>
      </c>
    </row>
    <row r="1609" spans="1:6" x14ac:dyDescent="0.25">
      <c r="A1609" s="26">
        <v>20</v>
      </c>
      <c r="B1609" s="26">
        <v>8.5</v>
      </c>
      <c r="C1609" s="26">
        <v>0.6</v>
      </c>
      <c r="D1609" s="26">
        <v>1.5</v>
      </c>
      <c r="E1609" s="75">
        <v>46</v>
      </c>
      <c r="F1609" s="77">
        <f t="shared" si="30"/>
        <v>3.2608695652173912E-2</v>
      </c>
    </row>
    <row r="1610" spans="1:6" x14ac:dyDescent="0.25">
      <c r="A1610" s="26">
        <v>20</v>
      </c>
      <c r="B1610" s="26">
        <v>8.5</v>
      </c>
      <c r="C1610" s="26">
        <v>0.6</v>
      </c>
      <c r="D1610" s="26">
        <v>2</v>
      </c>
      <c r="E1610" s="75">
        <v>61</v>
      </c>
      <c r="F1610" s="77">
        <f t="shared" si="30"/>
        <v>3.2786885245901641E-2</v>
      </c>
    </row>
    <row r="1611" spans="1:6" x14ac:dyDescent="0.25">
      <c r="A1611" s="26">
        <v>20</v>
      </c>
      <c r="B1611" s="26">
        <v>8.5</v>
      </c>
      <c r="C1611" s="26">
        <v>0.6</v>
      </c>
      <c r="D1611" s="26">
        <v>2.5</v>
      </c>
      <c r="E1611" s="75">
        <v>77</v>
      </c>
      <c r="F1611" s="77">
        <f t="shared" si="30"/>
        <v>3.2467532467532464E-2</v>
      </c>
    </row>
    <row r="1612" spans="1:6" x14ac:dyDescent="0.25">
      <c r="A1612" s="26">
        <v>20</v>
      </c>
      <c r="B1612" s="26">
        <v>8.5</v>
      </c>
      <c r="C1612" s="26">
        <v>0.6</v>
      </c>
      <c r="D1612" s="26">
        <v>3</v>
      </c>
      <c r="E1612" s="75">
        <v>92</v>
      </c>
      <c r="F1612" s="77">
        <f t="shared" si="30"/>
        <v>3.2608695652173912E-2</v>
      </c>
    </row>
    <row r="1613" spans="1:6" x14ac:dyDescent="0.25">
      <c r="A1613" s="26">
        <v>20</v>
      </c>
      <c r="B1613" s="26">
        <v>8.5</v>
      </c>
      <c r="C1613" s="26">
        <v>0.8</v>
      </c>
      <c r="D1613" s="26">
        <v>0.5</v>
      </c>
      <c r="E1613" s="75">
        <v>16</v>
      </c>
      <c r="F1613" s="77">
        <f t="shared" si="30"/>
        <v>3.125E-2</v>
      </c>
    </row>
    <row r="1614" spans="1:6" x14ac:dyDescent="0.25">
      <c r="A1614" s="26">
        <v>20</v>
      </c>
      <c r="B1614" s="26">
        <v>8.5</v>
      </c>
      <c r="C1614" s="26">
        <v>0.8</v>
      </c>
      <c r="D1614" s="26">
        <v>1</v>
      </c>
      <c r="E1614" s="75">
        <v>32</v>
      </c>
      <c r="F1614" s="77">
        <f t="shared" si="30"/>
        <v>3.125E-2</v>
      </c>
    </row>
    <row r="1615" spans="1:6" x14ac:dyDescent="0.25">
      <c r="A1615" s="26">
        <v>20</v>
      </c>
      <c r="B1615" s="26">
        <v>8.5</v>
      </c>
      <c r="C1615" s="26">
        <v>0.8</v>
      </c>
      <c r="D1615" s="26">
        <v>1.5</v>
      </c>
      <c r="E1615" s="75">
        <v>48</v>
      </c>
      <c r="F1615" s="77">
        <f t="shared" si="30"/>
        <v>3.125E-2</v>
      </c>
    </row>
    <row r="1616" spans="1:6" x14ac:dyDescent="0.25">
      <c r="A1616" s="26">
        <v>20</v>
      </c>
      <c r="B1616" s="26">
        <v>8.5</v>
      </c>
      <c r="C1616" s="26">
        <v>0.8</v>
      </c>
      <c r="D1616" s="26">
        <v>2</v>
      </c>
      <c r="E1616" s="75">
        <v>63</v>
      </c>
      <c r="F1616" s="77">
        <f t="shared" si="30"/>
        <v>3.1746031746031744E-2</v>
      </c>
    </row>
    <row r="1617" spans="1:6" x14ac:dyDescent="0.25">
      <c r="A1617" s="26">
        <v>20</v>
      </c>
      <c r="B1617" s="26">
        <v>8.5</v>
      </c>
      <c r="C1617" s="26">
        <v>0.8</v>
      </c>
      <c r="D1617" s="26">
        <v>2.5</v>
      </c>
      <c r="E1617" s="75">
        <v>79</v>
      </c>
      <c r="F1617" s="77">
        <f t="shared" si="30"/>
        <v>3.1645569620253167E-2</v>
      </c>
    </row>
    <row r="1618" spans="1:6" x14ac:dyDescent="0.25">
      <c r="A1618" s="26">
        <v>20</v>
      </c>
      <c r="B1618" s="26">
        <v>8.5</v>
      </c>
      <c r="C1618" s="26">
        <v>0.8</v>
      </c>
      <c r="D1618" s="26">
        <v>3</v>
      </c>
      <c r="E1618" s="75">
        <v>95</v>
      </c>
      <c r="F1618" s="77">
        <f t="shared" si="30"/>
        <v>3.1578947368421054E-2</v>
      </c>
    </row>
    <row r="1619" spans="1:6" x14ac:dyDescent="0.25">
      <c r="A1619" s="26">
        <v>20</v>
      </c>
      <c r="B1619" s="26">
        <v>8.5</v>
      </c>
      <c r="C1619" s="26">
        <v>1</v>
      </c>
      <c r="D1619" s="26">
        <v>0.5</v>
      </c>
      <c r="E1619" s="75">
        <v>16</v>
      </c>
      <c r="F1619" s="77">
        <f t="shared" si="30"/>
        <v>3.125E-2</v>
      </c>
    </row>
    <row r="1620" spans="1:6" x14ac:dyDescent="0.25">
      <c r="A1620" s="26">
        <v>20</v>
      </c>
      <c r="B1620" s="26">
        <v>8.5</v>
      </c>
      <c r="C1620" s="26">
        <v>1</v>
      </c>
      <c r="D1620" s="26">
        <v>1</v>
      </c>
      <c r="E1620" s="75">
        <v>33</v>
      </c>
      <c r="F1620" s="77">
        <f t="shared" si="30"/>
        <v>3.0303030303030304E-2</v>
      </c>
    </row>
    <row r="1621" spans="1:6" x14ac:dyDescent="0.25">
      <c r="A1621" s="26">
        <v>20</v>
      </c>
      <c r="B1621" s="26">
        <v>8.5</v>
      </c>
      <c r="C1621" s="26">
        <v>1</v>
      </c>
      <c r="D1621" s="26">
        <v>1.5</v>
      </c>
      <c r="E1621" s="75">
        <v>49</v>
      </c>
      <c r="F1621" s="77">
        <f t="shared" si="30"/>
        <v>3.0612244897959183E-2</v>
      </c>
    </row>
    <row r="1622" spans="1:6" x14ac:dyDescent="0.25">
      <c r="A1622" s="26">
        <v>20</v>
      </c>
      <c r="B1622" s="26">
        <v>8.5</v>
      </c>
      <c r="C1622" s="26">
        <v>1</v>
      </c>
      <c r="D1622" s="26">
        <v>2</v>
      </c>
      <c r="E1622" s="75">
        <v>65</v>
      </c>
      <c r="F1622" s="77">
        <f t="shared" si="30"/>
        <v>3.0769230769230771E-2</v>
      </c>
    </row>
    <row r="1623" spans="1:6" x14ac:dyDescent="0.25">
      <c r="A1623" s="26">
        <v>20</v>
      </c>
      <c r="B1623" s="26">
        <v>8.5</v>
      </c>
      <c r="C1623" s="26">
        <v>1</v>
      </c>
      <c r="D1623" s="26">
        <v>2.5</v>
      </c>
      <c r="E1623" s="75">
        <v>82</v>
      </c>
      <c r="F1623" s="77">
        <f t="shared" si="30"/>
        <v>3.048780487804878E-2</v>
      </c>
    </row>
    <row r="1624" spans="1:6" x14ac:dyDescent="0.25">
      <c r="A1624" s="26">
        <v>20</v>
      </c>
      <c r="B1624" s="26">
        <v>8.5</v>
      </c>
      <c r="C1624" s="26">
        <v>1</v>
      </c>
      <c r="D1624" s="26">
        <v>3</v>
      </c>
      <c r="E1624" s="75">
        <v>98</v>
      </c>
      <c r="F1624" s="77">
        <f t="shared" si="30"/>
        <v>3.0612244897959183E-2</v>
      </c>
    </row>
    <row r="1625" spans="1:6" x14ac:dyDescent="0.25">
      <c r="A1625" s="26">
        <v>20</v>
      </c>
      <c r="B1625" s="26">
        <v>8.5</v>
      </c>
      <c r="C1625" s="26">
        <v>1.2</v>
      </c>
      <c r="D1625" s="26">
        <v>0.5</v>
      </c>
      <c r="E1625" s="75">
        <v>17</v>
      </c>
      <c r="F1625" s="77">
        <f t="shared" si="30"/>
        <v>2.9411764705882353E-2</v>
      </c>
    </row>
    <row r="1626" spans="1:6" x14ac:dyDescent="0.25">
      <c r="A1626" s="26">
        <v>20</v>
      </c>
      <c r="B1626" s="26">
        <v>8.5</v>
      </c>
      <c r="C1626" s="26">
        <v>1.2</v>
      </c>
      <c r="D1626" s="26">
        <v>1</v>
      </c>
      <c r="E1626" s="75">
        <v>33</v>
      </c>
      <c r="F1626" s="77">
        <f t="shared" si="30"/>
        <v>3.0303030303030304E-2</v>
      </c>
    </row>
    <row r="1627" spans="1:6" x14ac:dyDescent="0.25">
      <c r="A1627" s="26">
        <v>20</v>
      </c>
      <c r="B1627" s="26">
        <v>8.5</v>
      </c>
      <c r="C1627" s="26">
        <v>1.2</v>
      </c>
      <c r="D1627" s="26">
        <v>1.5</v>
      </c>
      <c r="E1627" s="75">
        <v>50</v>
      </c>
      <c r="F1627" s="77">
        <f t="shared" si="30"/>
        <v>0.03</v>
      </c>
    </row>
    <row r="1628" spans="1:6" x14ac:dyDescent="0.25">
      <c r="A1628" s="26">
        <v>20</v>
      </c>
      <c r="B1628" s="26">
        <v>8.5</v>
      </c>
      <c r="C1628" s="26">
        <v>1.2</v>
      </c>
      <c r="D1628" s="26">
        <v>2</v>
      </c>
      <c r="E1628" s="75">
        <v>67</v>
      </c>
      <c r="F1628" s="77">
        <f t="shared" si="30"/>
        <v>2.9850746268656716E-2</v>
      </c>
    </row>
    <row r="1629" spans="1:6" x14ac:dyDescent="0.25">
      <c r="A1629" s="26">
        <v>20</v>
      </c>
      <c r="B1629" s="26">
        <v>8.5</v>
      </c>
      <c r="C1629" s="26">
        <v>1.2</v>
      </c>
      <c r="D1629" s="26">
        <v>2.5</v>
      </c>
      <c r="E1629" s="75">
        <v>83</v>
      </c>
      <c r="F1629" s="77">
        <f t="shared" si="30"/>
        <v>3.0120481927710843E-2</v>
      </c>
    </row>
    <row r="1630" spans="1:6" x14ac:dyDescent="0.25">
      <c r="A1630" s="26">
        <v>20</v>
      </c>
      <c r="B1630" s="26">
        <v>8.5</v>
      </c>
      <c r="C1630" s="26">
        <v>1.2</v>
      </c>
      <c r="D1630" s="26">
        <v>3</v>
      </c>
      <c r="E1630" s="75">
        <v>100</v>
      </c>
      <c r="F1630" s="77">
        <f t="shared" si="30"/>
        <v>0.03</v>
      </c>
    </row>
    <row r="1631" spans="1:6" x14ac:dyDescent="0.25">
      <c r="A1631" s="26">
        <v>20</v>
      </c>
      <c r="B1631" s="26">
        <v>8.5</v>
      </c>
      <c r="C1631" s="26">
        <v>1.4</v>
      </c>
      <c r="D1631" s="26">
        <v>0.5</v>
      </c>
      <c r="E1631" s="75">
        <v>17</v>
      </c>
      <c r="F1631" s="77">
        <f t="shared" si="30"/>
        <v>2.9411764705882353E-2</v>
      </c>
    </row>
    <row r="1632" spans="1:6" x14ac:dyDescent="0.25">
      <c r="A1632" s="26">
        <v>20</v>
      </c>
      <c r="B1632" s="26">
        <v>8.5</v>
      </c>
      <c r="C1632" s="26">
        <v>1.4</v>
      </c>
      <c r="D1632" s="26">
        <v>1</v>
      </c>
      <c r="E1632" s="75">
        <v>34</v>
      </c>
      <c r="F1632" s="77">
        <f t="shared" si="30"/>
        <v>2.9411764705882353E-2</v>
      </c>
    </row>
    <row r="1633" spans="1:6" x14ac:dyDescent="0.25">
      <c r="A1633" s="26">
        <v>20</v>
      </c>
      <c r="B1633" s="26">
        <v>8.5</v>
      </c>
      <c r="C1633" s="26">
        <v>1.4</v>
      </c>
      <c r="D1633" s="26">
        <v>1.5</v>
      </c>
      <c r="E1633" s="75">
        <v>52</v>
      </c>
      <c r="F1633" s="77">
        <f t="shared" si="30"/>
        <v>2.8846153846153848E-2</v>
      </c>
    </row>
    <row r="1634" spans="1:6" x14ac:dyDescent="0.25">
      <c r="A1634" s="26">
        <v>20</v>
      </c>
      <c r="B1634" s="26">
        <v>8.5</v>
      </c>
      <c r="C1634" s="26">
        <v>1.4</v>
      </c>
      <c r="D1634" s="26">
        <v>2</v>
      </c>
      <c r="E1634" s="75">
        <v>69</v>
      </c>
      <c r="F1634" s="77">
        <f t="shared" si="30"/>
        <v>2.8985507246376812E-2</v>
      </c>
    </row>
    <row r="1635" spans="1:6" x14ac:dyDescent="0.25">
      <c r="A1635" s="26">
        <v>20</v>
      </c>
      <c r="B1635" s="26">
        <v>8.5</v>
      </c>
      <c r="C1635" s="26">
        <v>1.4</v>
      </c>
      <c r="D1635" s="26">
        <v>2.5</v>
      </c>
      <c r="E1635" s="75">
        <v>86</v>
      </c>
      <c r="F1635" s="77">
        <f t="shared" si="30"/>
        <v>2.9069767441860465E-2</v>
      </c>
    </row>
    <row r="1636" spans="1:6" x14ac:dyDescent="0.25">
      <c r="A1636" s="26">
        <v>20</v>
      </c>
      <c r="B1636" s="26">
        <v>8.5</v>
      </c>
      <c r="C1636" s="26">
        <v>1.4</v>
      </c>
      <c r="D1636" s="26">
        <v>3</v>
      </c>
      <c r="E1636" s="75">
        <v>103</v>
      </c>
      <c r="F1636" s="77">
        <f t="shared" si="30"/>
        <v>2.9126213592233011E-2</v>
      </c>
    </row>
    <row r="1637" spans="1:6" x14ac:dyDescent="0.25">
      <c r="A1637" s="26">
        <v>20</v>
      </c>
      <c r="B1637" s="26">
        <v>8.5</v>
      </c>
      <c r="C1637" s="26">
        <v>1.6</v>
      </c>
      <c r="D1637" s="26">
        <v>0.5</v>
      </c>
      <c r="E1637" s="75">
        <v>18</v>
      </c>
      <c r="F1637" s="77">
        <f t="shared" si="30"/>
        <v>2.7777777777777776E-2</v>
      </c>
    </row>
    <row r="1638" spans="1:6" x14ac:dyDescent="0.25">
      <c r="A1638" s="26">
        <v>20</v>
      </c>
      <c r="B1638" s="26">
        <v>8.5</v>
      </c>
      <c r="C1638" s="26">
        <v>1.6</v>
      </c>
      <c r="D1638" s="26">
        <v>1</v>
      </c>
      <c r="E1638" s="75">
        <v>35</v>
      </c>
      <c r="F1638" s="77">
        <f t="shared" si="30"/>
        <v>2.8571428571428571E-2</v>
      </c>
    </row>
    <row r="1639" spans="1:6" x14ac:dyDescent="0.25">
      <c r="A1639" s="26">
        <v>20</v>
      </c>
      <c r="B1639" s="26">
        <v>8.5</v>
      </c>
      <c r="C1639" s="26">
        <v>1.6</v>
      </c>
      <c r="D1639" s="26">
        <v>1.5</v>
      </c>
      <c r="E1639" s="75">
        <v>53</v>
      </c>
      <c r="F1639" s="77">
        <f t="shared" si="30"/>
        <v>2.8301886792452831E-2</v>
      </c>
    </row>
    <row r="1640" spans="1:6" x14ac:dyDescent="0.25">
      <c r="A1640" s="26">
        <v>20</v>
      </c>
      <c r="B1640" s="26">
        <v>8.5</v>
      </c>
      <c r="C1640" s="26">
        <v>1.6</v>
      </c>
      <c r="D1640" s="26">
        <v>2</v>
      </c>
      <c r="E1640" s="75">
        <v>70</v>
      </c>
      <c r="F1640" s="77">
        <f t="shared" si="30"/>
        <v>2.8571428571428571E-2</v>
      </c>
    </row>
    <row r="1641" spans="1:6" x14ac:dyDescent="0.25">
      <c r="A1641" s="26">
        <v>20</v>
      </c>
      <c r="B1641" s="26">
        <v>8.5</v>
      </c>
      <c r="C1641" s="26">
        <v>1.6</v>
      </c>
      <c r="D1641" s="26">
        <v>2.5</v>
      </c>
      <c r="E1641" s="75">
        <v>88</v>
      </c>
      <c r="F1641" s="77">
        <f t="shared" si="30"/>
        <v>2.8409090909090908E-2</v>
      </c>
    </row>
    <row r="1642" spans="1:6" x14ac:dyDescent="0.25">
      <c r="A1642" s="26">
        <v>20</v>
      </c>
      <c r="B1642" s="26">
        <v>8.5</v>
      </c>
      <c r="C1642" s="26">
        <v>1.6</v>
      </c>
      <c r="D1642" s="26">
        <v>3</v>
      </c>
      <c r="E1642" s="75">
        <v>105</v>
      </c>
      <c r="F1642" s="77">
        <f t="shared" si="30"/>
        <v>2.8571428571428571E-2</v>
      </c>
    </row>
    <row r="1643" spans="1:6" x14ac:dyDescent="0.25">
      <c r="A1643" s="26">
        <v>20</v>
      </c>
      <c r="B1643" s="26">
        <v>8.5</v>
      </c>
      <c r="C1643" s="26">
        <v>1.8</v>
      </c>
      <c r="D1643" s="26">
        <v>0.5</v>
      </c>
      <c r="E1643" s="75">
        <v>18</v>
      </c>
      <c r="F1643" s="77">
        <f t="shared" si="30"/>
        <v>2.7777777777777776E-2</v>
      </c>
    </row>
    <row r="1644" spans="1:6" x14ac:dyDescent="0.25">
      <c r="A1644" s="26">
        <v>20</v>
      </c>
      <c r="B1644" s="26">
        <v>8.5</v>
      </c>
      <c r="C1644" s="26">
        <v>1.8</v>
      </c>
      <c r="D1644" s="26">
        <v>1</v>
      </c>
      <c r="E1644" s="75">
        <v>36</v>
      </c>
      <c r="F1644" s="77">
        <f t="shared" si="30"/>
        <v>2.7777777777777776E-2</v>
      </c>
    </row>
    <row r="1645" spans="1:6" x14ac:dyDescent="0.25">
      <c r="A1645" s="26">
        <v>20</v>
      </c>
      <c r="B1645" s="26">
        <v>8.5</v>
      </c>
      <c r="C1645" s="26">
        <v>1.8</v>
      </c>
      <c r="D1645" s="26">
        <v>1.5</v>
      </c>
      <c r="E1645" s="75">
        <v>54</v>
      </c>
      <c r="F1645" s="77">
        <f t="shared" si="30"/>
        <v>2.7777777777777776E-2</v>
      </c>
    </row>
    <row r="1646" spans="1:6" x14ac:dyDescent="0.25">
      <c r="A1646" s="26">
        <v>20</v>
      </c>
      <c r="B1646" s="26">
        <v>8.5</v>
      </c>
      <c r="C1646" s="26">
        <v>1.8</v>
      </c>
      <c r="D1646" s="26">
        <v>2</v>
      </c>
      <c r="E1646" s="75">
        <v>72</v>
      </c>
      <c r="F1646" s="77">
        <f t="shared" si="30"/>
        <v>2.7777777777777776E-2</v>
      </c>
    </row>
    <row r="1647" spans="1:6" x14ac:dyDescent="0.25">
      <c r="A1647" s="26">
        <v>20</v>
      </c>
      <c r="B1647" s="26">
        <v>8.5</v>
      </c>
      <c r="C1647" s="26">
        <v>1.8</v>
      </c>
      <c r="D1647" s="26">
        <v>2.5</v>
      </c>
      <c r="E1647" s="75">
        <v>90</v>
      </c>
      <c r="F1647" s="77">
        <f t="shared" si="30"/>
        <v>2.7777777777777776E-2</v>
      </c>
    </row>
    <row r="1648" spans="1:6" x14ac:dyDescent="0.25">
      <c r="A1648" s="26">
        <v>20</v>
      </c>
      <c r="B1648" s="26">
        <v>8.5</v>
      </c>
      <c r="C1648" s="26">
        <v>1.8</v>
      </c>
      <c r="D1648" s="26">
        <v>3</v>
      </c>
      <c r="E1648" s="75">
        <v>108</v>
      </c>
      <c r="F1648" s="77">
        <f t="shared" si="30"/>
        <v>2.7777777777777776E-2</v>
      </c>
    </row>
    <row r="1649" spans="1:6" x14ac:dyDescent="0.25">
      <c r="A1649" s="26">
        <v>20</v>
      </c>
      <c r="B1649" s="26">
        <v>8.5</v>
      </c>
      <c r="C1649" s="26">
        <v>2</v>
      </c>
      <c r="D1649" s="26">
        <v>0.5</v>
      </c>
      <c r="E1649" s="75">
        <v>18</v>
      </c>
      <c r="F1649" s="77">
        <f t="shared" si="30"/>
        <v>2.7777777777777776E-2</v>
      </c>
    </row>
    <row r="1650" spans="1:6" x14ac:dyDescent="0.25">
      <c r="A1650" s="26">
        <v>20</v>
      </c>
      <c r="B1650" s="26">
        <v>8.5</v>
      </c>
      <c r="C1650" s="26">
        <v>2</v>
      </c>
      <c r="D1650" s="26">
        <v>1</v>
      </c>
      <c r="E1650" s="75">
        <v>37</v>
      </c>
      <c r="F1650" s="77">
        <f t="shared" si="30"/>
        <v>2.7027027027027029E-2</v>
      </c>
    </row>
    <row r="1651" spans="1:6" x14ac:dyDescent="0.25">
      <c r="A1651" s="26">
        <v>20</v>
      </c>
      <c r="B1651" s="26">
        <v>8.5</v>
      </c>
      <c r="C1651" s="26">
        <v>2</v>
      </c>
      <c r="D1651" s="26">
        <v>1.5</v>
      </c>
      <c r="E1651" s="75">
        <v>55</v>
      </c>
      <c r="F1651" s="77">
        <f t="shared" si="30"/>
        <v>2.7272727272727271E-2</v>
      </c>
    </row>
    <row r="1652" spans="1:6" x14ac:dyDescent="0.25">
      <c r="A1652" s="26">
        <v>20</v>
      </c>
      <c r="B1652" s="26">
        <v>8.5</v>
      </c>
      <c r="C1652" s="26">
        <v>2</v>
      </c>
      <c r="D1652" s="26">
        <v>2</v>
      </c>
      <c r="E1652" s="75">
        <v>73</v>
      </c>
      <c r="F1652" s="77">
        <f t="shared" si="30"/>
        <v>2.7397260273972601E-2</v>
      </c>
    </row>
    <row r="1653" spans="1:6" x14ac:dyDescent="0.25">
      <c r="A1653" s="26">
        <v>20</v>
      </c>
      <c r="B1653" s="26">
        <v>8.5</v>
      </c>
      <c r="C1653" s="26">
        <v>2</v>
      </c>
      <c r="D1653" s="26">
        <v>2.5</v>
      </c>
      <c r="E1653" s="75">
        <v>92</v>
      </c>
      <c r="F1653" s="77">
        <f t="shared" si="30"/>
        <v>2.717391304347826E-2</v>
      </c>
    </row>
    <row r="1654" spans="1:6" x14ac:dyDescent="0.25">
      <c r="A1654" s="26">
        <v>20</v>
      </c>
      <c r="B1654" s="26">
        <v>8.5</v>
      </c>
      <c r="C1654" s="26">
        <v>2</v>
      </c>
      <c r="D1654" s="26">
        <v>3</v>
      </c>
      <c r="E1654" s="75">
        <v>110</v>
      </c>
      <c r="F1654" s="77">
        <f t="shared" si="30"/>
        <v>2.7272727272727271E-2</v>
      </c>
    </row>
    <row r="1655" spans="1:6" x14ac:dyDescent="0.25">
      <c r="A1655" s="26">
        <v>20</v>
      </c>
      <c r="B1655" s="26">
        <v>8.5</v>
      </c>
      <c r="C1655" s="26">
        <v>2.2000000000000002</v>
      </c>
      <c r="D1655" s="26">
        <v>0.5</v>
      </c>
      <c r="E1655" s="75">
        <v>19</v>
      </c>
      <c r="F1655" s="77">
        <f t="shared" si="30"/>
        <v>2.6315789473684209E-2</v>
      </c>
    </row>
    <row r="1656" spans="1:6" x14ac:dyDescent="0.25">
      <c r="A1656" s="26">
        <v>20</v>
      </c>
      <c r="B1656" s="26">
        <v>8.5</v>
      </c>
      <c r="C1656" s="26">
        <v>2.2000000000000002</v>
      </c>
      <c r="D1656" s="26">
        <v>1</v>
      </c>
      <c r="E1656" s="75">
        <v>38</v>
      </c>
      <c r="F1656" s="77">
        <f t="shared" si="30"/>
        <v>2.6315789473684209E-2</v>
      </c>
    </row>
    <row r="1657" spans="1:6" x14ac:dyDescent="0.25">
      <c r="A1657" s="26">
        <v>20</v>
      </c>
      <c r="B1657" s="26">
        <v>8.5</v>
      </c>
      <c r="C1657" s="26">
        <v>2.2000000000000002</v>
      </c>
      <c r="D1657" s="26">
        <v>1.5</v>
      </c>
      <c r="E1657" s="75">
        <v>57</v>
      </c>
      <c r="F1657" s="77">
        <f t="shared" si="30"/>
        <v>2.6315789473684209E-2</v>
      </c>
    </row>
    <row r="1658" spans="1:6" x14ac:dyDescent="0.25">
      <c r="A1658" s="26">
        <v>20</v>
      </c>
      <c r="B1658" s="26">
        <v>8.5</v>
      </c>
      <c r="C1658" s="26">
        <v>2.2000000000000002</v>
      </c>
      <c r="D1658" s="26">
        <v>2</v>
      </c>
      <c r="E1658" s="75">
        <v>75</v>
      </c>
      <c r="F1658" s="77">
        <f t="shared" si="30"/>
        <v>2.6666666666666668E-2</v>
      </c>
    </row>
    <row r="1659" spans="1:6" x14ac:dyDescent="0.25">
      <c r="A1659" s="26">
        <v>20</v>
      </c>
      <c r="B1659" s="26">
        <v>8.5</v>
      </c>
      <c r="C1659" s="26">
        <v>2.2000000000000002</v>
      </c>
      <c r="D1659" s="26">
        <v>2.5</v>
      </c>
      <c r="E1659" s="75">
        <v>94</v>
      </c>
      <c r="F1659" s="77">
        <f t="shared" si="30"/>
        <v>2.6595744680851064E-2</v>
      </c>
    </row>
    <row r="1660" spans="1:6" x14ac:dyDescent="0.25">
      <c r="A1660" s="26">
        <v>20</v>
      </c>
      <c r="B1660" s="26">
        <v>8.5</v>
      </c>
      <c r="C1660" s="26">
        <v>2.2000000000000002</v>
      </c>
      <c r="D1660" s="26">
        <v>3</v>
      </c>
      <c r="E1660" s="75">
        <v>113</v>
      </c>
      <c r="F1660" s="77">
        <f t="shared" si="30"/>
        <v>2.6548672566371681E-2</v>
      </c>
    </row>
    <row r="1661" spans="1:6" x14ac:dyDescent="0.25">
      <c r="A1661" s="26">
        <v>20</v>
      </c>
      <c r="B1661" s="26">
        <v>8.5</v>
      </c>
      <c r="C1661" s="26">
        <v>2.4</v>
      </c>
      <c r="D1661" s="26">
        <v>0.5</v>
      </c>
      <c r="E1661" s="75">
        <v>20</v>
      </c>
      <c r="F1661" s="77">
        <f t="shared" si="30"/>
        <v>2.5000000000000001E-2</v>
      </c>
    </row>
    <row r="1662" spans="1:6" x14ac:dyDescent="0.25">
      <c r="A1662" s="26">
        <v>20</v>
      </c>
      <c r="B1662" s="26">
        <v>8.5</v>
      </c>
      <c r="C1662" s="26">
        <v>2.4</v>
      </c>
      <c r="D1662" s="26">
        <v>1</v>
      </c>
      <c r="E1662" s="75">
        <v>39</v>
      </c>
      <c r="F1662" s="77">
        <f t="shared" si="30"/>
        <v>2.564102564102564E-2</v>
      </c>
    </row>
    <row r="1663" spans="1:6" x14ac:dyDescent="0.25">
      <c r="A1663" s="26">
        <v>20</v>
      </c>
      <c r="B1663" s="26">
        <v>8.5</v>
      </c>
      <c r="C1663" s="26">
        <v>2.4</v>
      </c>
      <c r="D1663" s="26">
        <v>1.5</v>
      </c>
      <c r="E1663" s="75">
        <v>59</v>
      </c>
      <c r="F1663" s="77">
        <f t="shared" si="30"/>
        <v>2.5423728813559324E-2</v>
      </c>
    </row>
    <row r="1664" spans="1:6" x14ac:dyDescent="0.25">
      <c r="A1664" s="26">
        <v>20</v>
      </c>
      <c r="B1664" s="26">
        <v>8.5</v>
      </c>
      <c r="C1664" s="26">
        <v>2.4</v>
      </c>
      <c r="D1664" s="26">
        <v>2</v>
      </c>
      <c r="E1664" s="75">
        <v>78</v>
      </c>
      <c r="F1664" s="77">
        <f t="shared" si="30"/>
        <v>2.564102564102564E-2</v>
      </c>
    </row>
    <row r="1665" spans="1:6" x14ac:dyDescent="0.25">
      <c r="A1665" s="26">
        <v>20</v>
      </c>
      <c r="B1665" s="26">
        <v>8.5</v>
      </c>
      <c r="C1665" s="26">
        <v>2.4</v>
      </c>
      <c r="D1665" s="26">
        <v>2.5</v>
      </c>
      <c r="E1665" s="75">
        <v>98</v>
      </c>
      <c r="F1665" s="77">
        <f t="shared" si="30"/>
        <v>2.5510204081632654E-2</v>
      </c>
    </row>
    <row r="1666" spans="1:6" x14ac:dyDescent="0.25">
      <c r="A1666" s="26">
        <v>20</v>
      </c>
      <c r="B1666" s="26">
        <v>8.5</v>
      </c>
      <c r="C1666" s="26">
        <v>2.4</v>
      </c>
      <c r="D1666" s="26">
        <v>3</v>
      </c>
      <c r="E1666" s="75">
        <v>115</v>
      </c>
      <c r="F1666" s="77">
        <f t="shared" si="30"/>
        <v>2.6086956521739129E-2</v>
      </c>
    </row>
    <row r="1667" spans="1:6" x14ac:dyDescent="0.25">
      <c r="A1667" s="26">
        <v>20</v>
      </c>
      <c r="B1667" s="26">
        <v>8.5</v>
      </c>
      <c r="C1667" s="26">
        <v>2.6</v>
      </c>
      <c r="D1667" s="26">
        <v>0.5</v>
      </c>
      <c r="E1667" s="75">
        <v>20</v>
      </c>
      <c r="F1667" s="77">
        <f t="shared" si="30"/>
        <v>2.5000000000000001E-2</v>
      </c>
    </row>
    <row r="1668" spans="1:6" x14ac:dyDescent="0.25">
      <c r="A1668" s="26">
        <v>20</v>
      </c>
      <c r="B1668" s="26">
        <v>8.5</v>
      </c>
      <c r="C1668" s="26">
        <v>2.6</v>
      </c>
      <c r="D1668" s="26">
        <v>1</v>
      </c>
      <c r="E1668" s="75">
        <v>39</v>
      </c>
      <c r="F1668" s="77">
        <f t="shared" si="30"/>
        <v>2.564102564102564E-2</v>
      </c>
    </row>
    <row r="1669" spans="1:6" x14ac:dyDescent="0.25">
      <c r="A1669" s="26">
        <v>20</v>
      </c>
      <c r="B1669" s="26">
        <v>8.5</v>
      </c>
      <c r="C1669" s="26">
        <v>2.6</v>
      </c>
      <c r="D1669" s="26">
        <v>1.5</v>
      </c>
      <c r="E1669" s="75">
        <v>59</v>
      </c>
      <c r="F1669" s="77">
        <f t="shared" ref="F1669:F1684" si="31">D1669/E1669</f>
        <v>2.5423728813559324E-2</v>
      </c>
    </row>
    <row r="1670" spans="1:6" x14ac:dyDescent="0.25">
      <c r="A1670" s="26">
        <v>20</v>
      </c>
      <c r="B1670" s="26">
        <v>8.5</v>
      </c>
      <c r="C1670" s="26">
        <v>2.6</v>
      </c>
      <c r="D1670" s="26">
        <v>2</v>
      </c>
      <c r="E1670" s="75">
        <v>78</v>
      </c>
      <c r="F1670" s="77">
        <f t="shared" si="31"/>
        <v>2.564102564102564E-2</v>
      </c>
    </row>
    <row r="1671" spans="1:6" x14ac:dyDescent="0.25">
      <c r="A1671" s="26">
        <v>20</v>
      </c>
      <c r="B1671" s="26">
        <v>8.5</v>
      </c>
      <c r="C1671" s="26">
        <v>2.6</v>
      </c>
      <c r="D1671" s="26">
        <v>2.5</v>
      </c>
      <c r="E1671" s="75">
        <v>98</v>
      </c>
      <c r="F1671" s="77">
        <f t="shared" si="31"/>
        <v>2.5510204081632654E-2</v>
      </c>
    </row>
    <row r="1672" spans="1:6" x14ac:dyDescent="0.25">
      <c r="A1672" s="26">
        <v>20</v>
      </c>
      <c r="B1672" s="26">
        <v>8.5</v>
      </c>
      <c r="C1672" s="26">
        <v>2.6</v>
      </c>
      <c r="D1672" s="26">
        <v>3</v>
      </c>
      <c r="E1672" s="75">
        <v>117</v>
      </c>
      <c r="F1672" s="77">
        <f t="shared" si="31"/>
        <v>2.564102564102564E-2</v>
      </c>
    </row>
    <row r="1673" spans="1:6" x14ac:dyDescent="0.25">
      <c r="A1673" s="26">
        <v>20</v>
      </c>
      <c r="B1673" s="26">
        <v>8.5</v>
      </c>
      <c r="C1673" s="26">
        <v>2.8</v>
      </c>
      <c r="D1673" s="26">
        <v>0.5</v>
      </c>
      <c r="E1673" s="75">
        <v>20</v>
      </c>
      <c r="F1673" s="77">
        <f t="shared" si="31"/>
        <v>2.5000000000000001E-2</v>
      </c>
    </row>
    <row r="1674" spans="1:6" x14ac:dyDescent="0.25">
      <c r="A1674" s="26">
        <v>20</v>
      </c>
      <c r="B1674" s="26">
        <v>8.5</v>
      </c>
      <c r="C1674" s="26">
        <v>2.8</v>
      </c>
      <c r="D1674" s="26">
        <v>1</v>
      </c>
      <c r="E1674" s="75">
        <v>40</v>
      </c>
      <c r="F1674" s="77">
        <f t="shared" si="31"/>
        <v>2.5000000000000001E-2</v>
      </c>
    </row>
    <row r="1675" spans="1:6" x14ac:dyDescent="0.25">
      <c r="A1675" s="26">
        <v>20</v>
      </c>
      <c r="B1675" s="26">
        <v>8.5</v>
      </c>
      <c r="C1675" s="26">
        <v>2.8</v>
      </c>
      <c r="D1675" s="26">
        <v>1.5</v>
      </c>
      <c r="E1675" s="75">
        <v>60</v>
      </c>
      <c r="F1675" s="77">
        <f t="shared" si="31"/>
        <v>2.5000000000000001E-2</v>
      </c>
    </row>
    <row r="1676" spans="1:6" x14ac:dyDescent="0.25">
      <c r="A1676" s="26">
        <v>20</v>
      </c>
      <c r="B1676" s="26">
        <v>8.5</v>
      </c>
      <c r="C1676" s="26">
        <v>2.8</v>
      </c>
      <c r="D1676" s="26">
        <v>2</v>
      </c>
      <c r="E1676" s="75">
        <v>79</v>
      </c>
      <c r="F1676" s="77">
        <f t="shared" si="31"/>
        <v>2.5316455696202531E-2</v>
      </c>
    </row>
    <row r="1677" spans="1:6" x14ac:dyDescent="0.25">
      <c r="A1677" s="26">
        <v>20</v>
      </c>
      <c r="B1677" s="26">
        <v>8.5</v>
      </c>
      <c r="C1677" s="26">
        <v>2.8</v>
      </c>
      <c r="D1677" s="26">
        <v>2.5</v>
      </c>
      <c r="E1677" s="75">
        <v>99</v>
      </c>
      <c r="F1677" s="77">
        <f t="shared" si="31"/>
        <v>2.5252525252525252E-2</v>
      </c>
    </row>
    <row r="1678" spans="1:6" x14ac:dyDescent="0.25">
      <c r="A1678" s="26">
        <v>20</v>
      </c>
      <c r="B1678" s="26">
        <v>8.5</v>
      </c>
      <c r="C1678" s="26">
        <v>2.8</v>
      </c>
      <c r="D1678" s="26">
        <v>3</v>
      </c>
      <c r="E1678" s="75">
        <v>119</v>
      </c>
      <c r="F1678" s="77">
        <f t="shared" si="31"/>
        <v>2.5210084033613446E-2</v>
      </c>
    </row>
    <row r="1679" spans="1:6" x14ac:dyDescent="0.25">
      <c r="A1679" s="26">
        <v>20</v>
      </c>
      <c r="B1679" s="26">
        <v>8.5</v>
      </c>
      <c r="C1679" s="26">
        <v>3</v>
      </c>
      <c r="D1679" s="26">
        <v>0.5</v>
      </c>
      <c r="E1679" s="75">
        <v>20</v>
      </c>
      <c r="F1679" s="77">
        <f t="shared" si="31"/>
        <v>2.5000000000000001E-2</v>
      </c>
    </row>
    <row r="1680" spans="1:6" x14ac:dyDescent="0.25">
      <c r="A1680" s="26">
        <v>20</v>
      </c>
      <c r="B1680" s="26">
        <v>8.5</v>
      </c>
      <c r="C1680" s="26">
        <v>3</v>
      </c>
      <c r="D1680" s="26">
        <v>1</v>
      </c>
      <c r="E1680" s="75">
        <v>41</v>
      </c>
      <c r="F1680" s="77">
        <f t="shared" si="31"/>
        <v>2.4390243902439025E-2</v>
      </c>
    </row>
    <row r="1681" spans="1:6" x14ac:dyDescent="0.25">
      <c r="A1681" s="26">
        <v>20</v>
      </c>
      <c r="B1681" s="26">
        <v>8.5</v>
      </c>
      <c r="C1681" s="26">
        <v>3</v>
      </c>
      <c r="D1681" s="26">
        <v>1.5</v>
      </c>
      <c r="E1681" s="75">
        <v>61</v>
      </c>
      <c r="F1681" s="77">
        <f t="shared" si="31"/>
        <v>2.4590163934426229E-2</v>
      </c>
    </row>
    <row r="1682" spans="1:6" x14ac:dyDescent="0.25">
      <c r="A1682" s="26">
        <v>20</v>
      </c>
      <c r="B1682" s="26">
        <v>8.5</v>
      </c>
      <c r="C1682" s="26">
        <v>3</v>
      </c>
      <c r="D1682" s="26">
        <v>2</v>
      </c>
      <c r="E1682" s="75">
        <v>81</v>
      </c>
      <c r="F1682" s="77">
        <f t="shared" si="31"/>
        <v>2.4691358024691357E-2</v>
      </c>
    </row>
    <row r="1683" spans="1:6" x14ac:dyDescent="0.25">
      <c r="A1683" s="26">
        <v>20</v>
      </c>
      <c r="B1683" s="26">
        <v>8.5</v>
      </c>
      <c r="C1683" s="26">
        <v>3</v>
      </c>
      <c r="D1683" s="26">
        <v>2.5</v>
      </c>
      <c r="E1683" s="75">
        <v>102</v>
      </c>
      <c r="F1683" s="77">
        <f t="shared" si="31"/>
        <v>2.4509803921568627E-2</v>
      </c>
    </row>
    <row r="1684" spans="1:6" x14ac:dyDescent="0.25">
      <c r="A1684" s="73">
        <v>20</v>
      </c>
      <c r="B1684" s="26">
        <v>8.5</v>
      </c>
      <c r="C1684" s="73">
        <v>3</v>
      </c>
      <c r="D1684" s="73">
        <v>3</v>
      </c>
      <c r="E1684" s="75">
        <v>122</v>
      </c>
      <c r="F1684" s="77">
        <f t="shared" si="31"/>
        <v>2.4590163934426229E-2</v>
      </c>
    </row>
    <row r="1685" spans="1:6" x14ac:dyDescent="0.25">
      <c r="E1685" s="75"/>
    </row>
    <row r="1686" spans="1:6" x14ac:dyDescent="0.25">
      <c r="E1686" s="75"/>
    </row>
    <row r="1687" spans="1:6" x14ac:dyDescent="0.25">
      <c r="A1687" s="78">
        <v>0.5</v>
      </c>
      <c r="B1687" s="78">
        <v>9</v>
      </c>
      <c r="C1687" s="26">
        <v>0.4</v>
      </c>
      <c r="D1687" s="26">
        <v>0.5</v>
      </c>
      <c r="E1687" s="75">
        <v>65</v>
      </c>
      <c r="F1687" s="77">
        <f t="shared" ref="F1687:F1750" si="32">D1687/E1687</f>
        <v>7.6923076923076927E-3</v>
      </c>
    </row>
    <row r="1688" spans="1:6" x14ac:dyDescent="0.25">
      <c r="A1688" s="78">
        <v>0.5</v>
      </c>
      <c r="B1688" s="78">
        <v>9</v>
      </c>
      <c r="C1688" s="26">
        <v>0.4</v>
      </c>
      <c r="D1688" s="26">
        <v>1</v>
      </c>
      <c r="E1688" s="75">
        <v>130</v>
      </c>
      <c r="F1688" s="77">
        <f t="shared" si="32"/>
        <v>7.6923076923076927E-3</v>
      </c>
    </row>
    <row r="1689" spans="1:6" x14ac:dyDescent="0.25">
      <c r="A1689" s="78">
        <v>0.5</v>
      </c>
      <c r="B1689" s="78">
        <v>9</v>
      </c>
      <c r="C1689" s="26">
        <v>0.4</v>
      </c>
      <c r="D1689" s="26">
        <v>1.5</v>
      </c>
      <c r="E1689" s="75">
        <v>195</v>
      </c>
      <c r="F1689" s="77">
        <f t="shared" si="32"/>
        <v>7.6923076923076927E-3</v>
      </c>
    </row>
    <row r="1690" spans="1:6" x14ac:dyDescent="0.25">
      <c r="A1690" s="78">
        <v>0.5</v>
      </c>
      <c r="B1690" s="78">
        <v>9</v>
      </c>
      <c r="C1690" s="26">
        <v>0.4</v>
      </c>
      <c r="D1690" s="26">
        <v>2</v>
      </c>
      <c r="E1690" s="75">
        <v>260</v>
      </c>
      <c r="F1690" s="77">
        <f t="shared" si="32"/>
        <v>7.6923076923076927E-3</v>
      </c>
    </row>
    <row r="1691" spans="1:6" x14ac:dyDescent="0.25">
      <c r="A1691" s="78">
        <v>0.5</v>
      </c>
      <c r="B1691" s="78">
        <v>9</v>
      </c>
      <c r="C1691" s="26">
        <v>0.4</v>
      </c>
      <c r="D1691" s="26">
        <v>2.5</v>
      </c>
      <c r="E1691" s="75">
        <v>325</v>
      </c>
      <c r="F1691" s="77">
        <f t="shared" si="32"/>
        <v>7.6923076923076927E-3</v>
      </c>
    </row>
    <row r="1692" spans="1:6" x14ac:dyDescent="0.25">
      <c r="A1692" s="78">
        <v>0.5</v>
      </c>
      <c r="B1692" s="78">
        <v>9</v>
      </c>
      <c r="C1692" s="26">
        <v>0.4</v>
      </c>
      <c r="D1692" s="26">
        <v>3</v>
      </c>
      <c r="E1692" s="75">
        <v>390</v>
      </c>
      <c r="F1692" s="77">
        <f t="shared" si="32"/>
        <v>7.6923076923076927E-3</v>
      </c>
    </row>
    <row r="1693" spans="1:6" x14ac:dyDescent="0.25">
      <c r="A1693" s="78">
        <v>0.5</v>
      </c>
      <c r="B1693" s="78">
        <v>9</v>
      </c>
      <c r="C1693" s="26">
        <v>0.6</v>
      </c>
      <c r="D1693" s="26">
        <v>0.5</v>
      </c>
      <c r="E1693" s="75">
        <v>68</v>
      </c>
      <c r="F1693" s="77">
        <f t="shared" si="32"/>
        <v>7.3529411764705881E-3</v>
      </c>
    </row>
    <row r="1694" spans="1:6" x14ac:dyDescent="0.25">
      <c r="A1694" s="78">
        <v>0.5</v>
      </c>
      <c r="B1694" s="78">
        <v>9</v>
      </c>
      <c r="C1694" s="26">
        <v>0.6</v>
      </c>
      <c r="D1694" s="26">
        <v>1</v>
      </c>
      <c r="E1694" s="75">
        <v>136</v>
      </c>
      <c r="F1694" s="77">
        <f t="shared" si="32"/>
        <v>7.3529411764705881E-3</v>
      </c>
    </row>
    <row r="1695" spans="1:6" x14ac:dyDescent="0.25">
      <c r="A1695" s="78">
        <v>0.5</v>
      </c>
      <c r="B1695" s="78">
        <v>9</v>
      </c>
      <c r="C1695" s="26">
        <v>0.6</v>
      </c>
      <c r="D1695" s="26">
        <v>1.5</v>
      </c>
      <c r="E1695" s="75">
        <v>204</v>
      </c>
      <c r="F1695" s="77">
        <f t="shared" si="32"/>
        <v>7.3529411764705881E-3</v>
      </c>
    </row>
    <row r="1696" spans="1:6" x14ac:dyDescent="0.25">
      <c r="A1696" s="78">
        <v>0.5</v>
      </c>
      <c r="B1696" s="78">
        <v>9</v>
      </c>
      <c r="C1696" s="26">
        <v>0.6</v>
      </c>
      <c r="D1696" s="26">
        <v>2</v>
      </c>
      <c r="E1696" s="75">
        <v>271</v>
      </c>
      <c r="F1696" s="77">
        <f t="shared" si="32"/>
        <v>7.3800738007380072E-3</v>
      </c>
    </row>
    <row r="1697" spans="1:6" x14ac:dyDescent="0.25">
      <c r="A1697" s="78">
        <v>0.5</v>
      </c>
      <c r="B1697" s="78">
        <v>9</v>
      </c>
      <c r="C1697" s="26">
        <v>0.6</v>
      </c>
      <c r="D1697" s="26">
        <v>2.5</v>
      </c>
      <c r="E1697" s="75">
        <v>339</v>
      </c>
      <c r="F1697" s="77">
        <f t="shared" si="32"/>
        <v>7.3746312684365781E-3</v>
      </c>
    </row>
    <row r="1698" spans="1:6" x14ac:dyDescent="0.25">
      <c r="A1698" s="78">
        <v>0.5</v>
      </c>
      <c r="B1698" s="78">
        <v>9</v>
      </c>
      <c r="C1698" s="26">
        <v>0.6</v>
      </c>
      <c r="D1698" s="26">
        <v>3</v>
      </c>
      <c r="E1698" s="75">
        <v>407</v>
      </c>
      <c r="F1698" s="77">
        <f t="shared" si="32"/>
        <v>7.3710073710073713E-3</v>
      </c>
    </row>
    <row r="1699" spans="1:6" x14ac:dyDescent="0.25">
      <c r="A1699" s="78">
        <v>0.5</v>
      </c>
      <c r="B1699" s="78">
        <v>9</v>
      </c>
      <c r="C1699" s="26">
        <v>0.8</v>
      </c>
      <c r="D1699" s="26">
        <v>0.5</v>
      </c>
      <c r="E1699" s="75">
        <v>70</v>
      </c>
      <c r="F1699" s="77">
        <f t="shared" si="32"/>
        <v>7.1428571428571426E-3</v>
      </c>
    </row>
    <row r="1700" spans="1:6" x14ac:dyDescent="0.25">
      <c r="A1700" s="78">
        <v>0.5</v>
      </c>
      <c r="B1700" s="78">
        <v>9</v>
      </c>
      <c r="C1700" s="26">
        <v>0.8</v>
      </c>
      <c r="D1700" s="26">
        <v>1</v>
      </c>
      <c r="E1700" s="75">
        <v>141</v>
      </c>
      <c r="F1700" s="77">
        <f t="shared" si="32"/>
        <v>7.0921985815602835E-3</v>
      </c>
    </row>
    <row r="1701" spans="1:6" x14ac:dyDescent="0.25">
      <c r="A1701" s="78">
        <v>0.5</v>
      </c>
      <c r="B1701" s="78">
        <v>9</v>
      </c>
      <c r="C1701" s="26">
        <v>0.8</v>
      </c>
      <c r="D1701" s="26">
        <v>1.5</v>
      </c>
      <c r="E1701" s="75">
        <v>211</v>
      </c>
      <c r="F1701" s="77">
        <f t="shared" si="32"/>
        <v>7.1090047393364926E-3</v>
      </c>
    </row>
    <row r="1702" spans="1:6" x14ac:dyDescent="0.25">
      <c r="A1702" s="78">
        <v>0.5</v>
      </c>
      <c r="B1702" s="78">
        <v>9</v>
      </c>
      <c r="C1702" s="26">
        <v>0.8</v>
      </c>
      <c r="D1702" s="26">
        <v>2</v>
      </c>
      <c r="E1702" s="75">
        <v>281</v>
      </c>
      <c r="F1702" s="77">
        <f t="shared" si="32"/>
        <v>7.1174377224199285E-3</v>
      </c>
    </row>
    <row r="1703" spans="1:6" x14ac:dyDescent="0.25">
      <c r="A1703" s="78">
        <v>0.5</v>
      </c>
      <c r="B1703" s="78">
        <v>9</v>
      </c>
      <c r="C1703" s="26">
        <v>0.8</v>
      </c>
      <c r="D1703" s="26">
        <v>2.5</v>
      </c>
      <c r="E1703" s="75">
        <v>352</v>
      </c>
      <c r="F1703" s="77">
        <f t="shared" si="32"/>
        <v>7.102272727272727E-3</v>
      </c>
    </row>
    <row r="1704" spans="1:6" x14ac:dyDescent="0.25">
      <c r="A1704" s="78">
        <v>0.5</v>
      </c>
      <c r="B1704" s="78">
        <v>9</v>
      </c>
      <c r="C1704" s="26">
        <v>0.8</v>
      </c>
      <c r="D1704" s="26">
        <v>3</v>
      </c>
      <c r="E1704" s="75">
        <v>422</v>
      </c>
      <c r="F1704" s="77">
        <f t="shared" si="32"/>
        <v>7.1090047393364926E-3</v>
      </c>
    </row>
    <row r="1705" spans="1:6" x14ac:dyDescent="0.25">
      <c r="A1705" s="78">
        <v>0.5</v>
      </c>
      <c r="B1705" s="78">
        <v>9</v>
      </c>
      <c r="C1705" s="26">
        <v>1</v>
      </c>
      <c r="D1705" s="26">
        <v>0.5</v>
      </c>
      <c r="E1705" s="75">
        <v>73</v>
      </c>
      <c r="F1705" s="77">
        <f t="shared" si="32"/>
        <v>6.8493150684931503E-3</v>
      </c>
    </row>
    <row r="1706" spans="1:6" x14ac:dyDescent="0.25">
      <c r="A1706" s="78">
        <v>0.5</v>
      </c>
      <c r="B1706" s="78">
        <v>9</v>
      </c>
      <c r="C1706" s="26">
        <v>1</v>
      </c>
      <c r="D1706" s="26">
        <v>1</v>
      </c>
      <c r="E1706" s="75">
        <v>146</v>
      </c>
      <c r="F1706" s="77">
        <f t="shared" si="32"/>
        <v>6.8493150684931503E-3</v>
      </c>
    </row>
    <row r="1707" spans="1:6" x14ac:dyDescent="0.25">
      <c r="A1707" s="78">
        <v>0.5</v>
      </c>
      <c r="B1707" s="78">
        <v>9</v>
      </c>
      <c r="C1707" s="26">
        <v>1</v>
      </c>
      <c r="D1707" s="26">
        <v>1.5</v>
      </c>
      <c r="E1707" s="75">
        <v>219</v>
      </c>
      <c r="F1707" s="77">
        <f t="shared" si="32"/>
        <v>6.8493150684931503E-3</v>
      </c>
    </row>
    <row r="1708" spans="1:6" x14ac:dyDescent="0.25">
      <c r="A1708" s="78">
        <v>0.5</v>
      </c>
      <c r="B1708" s="78">
        <v>9</v>
      </c>
      <c r="C1708" s="26">
        <v>1</v>
      </c>
      <c r="D1708" s="26">
        <v>2</v>
      </c>
      <c r="E1708" s="75">
        <v>291</v>
      </c>
      <c r="F1708" s="77">
        <f t="shared" si="32"/>
        <v>6.8728522336769758E-3</v>
      </c>
    </row>
    <row r="1709" spans="1:6" x14ac:dyDescent="0.25">
      <c r="A1709" s="78">
        <v>0.5</v>
      </c>
      <c r="B1709" s="78">
        <v>9</v>
      </c>
      <c r="C1709" s="26">
        <v>1</v>
      </c>
      <c r="D1709" s="26">
        <v>2.5</v>
      </c>
      <c r="E1709" s="75">
        <v>364</v>
      </c>
      <c r="F1709" s="77">
        <f t="shared" si="32"/>
        <v>6.868131868131868E-3</v>
      </c>
    </row>
    <row r="1710" spans="1:6" x14ac:dyDescent="0.25">
      <c r="A1710" s="78">
        <v>0.5</v>
      </c>
      <c r="B1710" s="78">
        <v>9</v>
      </c>
      <c r="C1710" s="26">
        <v>1</v>
      </c>
      <c r="D1710" s="26">
        <v>3</v>
      </c>
      <c r="E1710" s="75">
        <v>437</v>
      </c>
      <c r="F1710" s="77">
        <f t="shared" si="32"/>
        <v>6.8649885583524023E-3</v>
      </c>
    </row>
    <row r="1711" spans="1:6" x14ac:dyDescent="0.25">
      <c r="A1711" s="78">
        <v>0.5</v>
      </c>
      <c r="B1711" s="78">
        <v>9</v>
      </c>
      <c r="C1711" s="26">
        <v>1.2</v>
      </c>
      <c r="D1711" s="26">
        <v>0.5</v>
      </c>
      <c r="E1711" s="75">
        <v>75</v>
      </c>
      <c r="F1711" s="77">
        <f t="shared" si="32"/>
        <v>6.6666666666666671E-3</v>
      </c>
    </row>
    <row r="1712" spans="1:6" x14ac:dyDescent="0.25">
      <c r="A1712" s="78">
        <v>0.5</v>
      </c>
      <c r="B1712" s="78">
        <v>9</v>
      </c>
      <c r="C1712" s="26">
        <v>1.2</v>
      </c>
      <c r="D1712" s="26">
        <v>1</v>
      </c>
      <c r="E1712" s="75">
        <v>150</v>
      </c>
      <c r="F1712" s="77">
        <f t="shared" si="32"/>
        <v>6.6666666666666671E-3</v>
      </c>
    </row>
    <row r="1713" spans="1:6" x14ac:dyDescent="0.25">
      <c r="A1713" s="78">
        <v>0.5</v>
      </c>
      <c r="B1713" s="78">
        <v>9</v>
      </c>
      <c r="C1713" s="26">
        <v>1.2</v>
      </c>
      <c r="D1713" s="26">
        <v>1.5</v>
      </c>
      <c r="E1713" s="75">
        <v>226</v>
      </c>
      <c r="F1713" s="77">
        <f t="shared" si="32"/>
        <v>6.6371681415929203E-3</v>
      </c>
    </row>
    <row r="1714" spans="1:6" x14ac:dyDescent="0.25">
      <c r="A1714" s="78">
        <v>0.5</v>
      </c>
      <c r="B1714" s="78">
        <v>9</v>
      </c>
      <c r="C1714" s="26">
        <v>1.2</v>
      </c>
      <c r="D1714" s="26">
        <v>2</v>
      </c>
      <c r="E1714" s="75">
        <v>301</v>
      </c>
      <c r="F1714" s="77">
        <f t="shared" si="32"/>
        <v>6.6445182724252493E-3</v>
      </c>
    </row>
    <row r="1715" spans="1:6" x14ac:dyDescent="0.25">
      <c r="A1715" s="78">
        <v>0.5</v>
      </c>
      <c r="B1715" s="78">
        <v>9</v>
      </c>
      <c r="C1715" s="26">
        <v>1.2</v>
      </c>
      <c r="D1715" s="26">
        <v>2.5</v>
      </c>
      <c r="E1715" s="75">
        <v>376</v>
      </c>
      <c r="F1715" s="77">
        <f t="shared" si="32"/>
        <v>6.648936170212766E-3</v>
      </c>
    </row>
    <row r="1716" spans="1:6" x14ac:dyDescent="0.25">
      <c r="A1716" s="78">
        <v>0.5</v>
      </c>
      <c r="B1716" s="78">
        <v>9</v>
      </c>
      <c r="C1716" s="26">
        <v>1.2</v>
      </c>
      <c r="D1716" s="26">
        <v>3</v>
      </c>
      <c r="E1716" s="75">
        <v>451</v>
      </c>
      <c r="F1716" s="77">
        <f t="shared" si="32"/>
        <v>6.6518847006651885E-3</v>
      </c>
    </row>
    <row r="1717" spans="1:6" x14ac:dyDescent="0.25">
      <c r="A1717" s="78">
        <v>0.5</v>
      </c>
      <c r="B1717" s="78">
        <v>9</v>
      </c>
      <c r="C1717" s="26">
        <v>1.4</v>
      </c>
      <c r="D1717" s="26">
        <v>0.5</v>
      </c>
      <c r="E1717" s="75">
        <v>77</v>
      </c>
      <c r="F1717" s="77">
        <f t="shared" si="32"/>
        <v>6.4935064935064939E-3</v>
      </c>
    </row>
    <row r="1718" spans="1:6" x14ac:dyDescent="0.25">
      <c r="A1718" s="78">
        <v>0.5</v>
      </c>
      <c r="B1718" s="78">
        <v>9</v>
      </c>
      <c r="C1718" s="26">
        <v>1.4</v>
      </c>
      <c r="D1718" s="26">
        <v>1</v>
      </c>
      <c r="E1718" s="75">
        <v>155</v>
      </c>
      <c r="F1718" s="77">
        <f t="shared" si="32"/>
        <v>6.4516129032258064E-3</v>
      </c>
    </row>
    <row r="1719" spans="1:6" x14ac:dyDescent="0.25">
      <c r="A1719" s="78">
        <v>0.5</v>
      </c>
      <c r="B1719" s="78">
        <v>9</v>
      </c>
      <c r="C1719" s="26">
        <v>1.4</v>
      </c>
      <c r="D1719" s="26">
        <v>1.5</v>
      </c>
      <c r="E1719" s="75">
        <v>232</v>
      </c>
      <c r="F1719" s="77">
        <f t="shared" si="32"/>
        <v>6.4655172413793103E-3</v>
      </c>
    </row>
    <row r="1720" spans="1:6" x14ac:dyDescent="0.25">
      <c r="A1720" s="78">
        <v>0.5</v>
      </c>
      <c r="B1720" s="78">
        <v>9</v>
      </c>
      <c r="C1720" s="26">
        <v>1.4</v>
      </c>
      <c r="D1720" s="26">
        <v>2</v>
      </c>
      <c r="E1720" s="75">
        <v>309</v>
      </c>
      <c r="F1720" s="77">
        <f t="shared" si="32"/>
        <v>6.4724919093851136E-3</v>
      </c>
    </row>
    <row r="1721" spans="1:6" x14ac:dyDescent="0.25">
      <c r="A1721" s="78">
        <v>0.5</v>
      </c>
      <c r="B1721" s="78">
        <v>9</v>
      </c>
      <c r="C1721" s="26">
        <v>1.4</v>
      </c>
      <c r="D1721" s="26">
        <v>2.5</v>
      </c>
      <c r="E1721" s="75">
        <v>387</v>
      </c>
      <c r="F1721" s="77">
        <f t="shared" si="32"/>
        <v>6.4599483204134363E-3</v>
      </c>
    </row>
    <row r="1722" spans="1:6" x14ac:dyDescent="0.25">
      <c r="A1722" s="78">
        <v>0.5</v>
      </c>
      <c r="B1722" s="78">
        <v>9</v>
      </c>
      <c r="C1722" s="26">
        <v>1.4</v>
      </c>
      <c r="D1722" s="26">
        <v>3</v>
      </c>
      <c r="E1722" s="75">
        <v>464</v>
      </c>
      <c r="F1722" s="77">
        <f t="shared" si="32"/>
        <v>6.4655172413793103E-3</v>
      </c>
    </row>
    <row r="1723" spans="1:6" x14ac:dyDescent="0.25">
      <c r="A1723" s="78">
        <v>0.5</v>
      </c>
      <c r="B1723" s="78">
        <v>9</v>
      </c>
      <c r="C1723" s="26">
        <v>1.6</v>
      </c>
      <c r="D1723" s="26">
        <v>0.5</v>
      </c>
      <c r="E1723" s="75">
        <v>80</v>
      </c>
      <c r="F1723" s="77">
        <f t="shared" si="32"/>
        <v>6.2500000000000003E-3</v>
      </c>
    </row>
    <row r="1724" spans="1:6" x14ac:dyDescent="0.25">
      <c r="A1724" s="78">
        <v>0.5</v>
      </c>
      <c r="B1724" s="78">
        <v>9</v>
      </c>
      <c r="C1724" s="26">
        <v>1.6</v>
      </c>
      <c r="D1724" s="26">
        <v>1</v>
      </c>
      <c r="E1724" s="75">
        <v>159</v>
      </c>
      <c r="F1724" s="77">
        <f t="shared" si="32"/>
        <v>6.2893081761006293E-3</v>
      </c>
    </row>
    <row r="1725" spans="1:6" x14ac:dyDescent="0.25">
      <c r="A1725" s="78">
        <v>0.5</v>
      </c>
      <c r="B1725" s="78">
        <v>9</v>
      </c>
      <c r="C1725" s="26">
        <v>1.6</v>
      </c>
      <c r="D1725" s="26">
        <v>1.5</v>
      </c>
      <c r="E1725" s="75">
        <v>239</v>
      </c>
      <c r="F1725" s="77">
        <f t="shared" si="32"/>
        <v>6.2761506276150627E-3</v>
      </c>
    </row>
    <row r="1726" spans="1:6" x14ac:dyDescent="0.25">
      <c r="A1726" s="78">
        <v>0.5</v>
      </c>
      <c r="B1726" s="78">
        <v>9</v>
      </c>
      <c r="C1726" s="26">
        <v>1.6</v>
      </c>
      <c r="D1726" s="26">
        <v>2</v>
      </c>
      <c r="E1726" s="75">
        <v>318</v>
      </c>
      <c r="F1726" s="77">
        <f t="shared" si="32"/>
        <v>6.2893081761006293E-3</v>
      </c>
    </row>
    <row r="1727" spans="1:6" x14ac:dyDescent="0.25">
      <c r="A1727" s="78">
        <v>0.5</v>
      </c>
      <c r="B1727" s="78">
        <v>9</v>
      </c>
      <c r="C1727" s="26">
        <v>1.6</v>
      </c>
      <c r="D1727" s="26">
        <v>2.5</v>
      </c>
      <c r="E1727" s="75">
        <v>398</v>
      </c>
      <c r="F1727" s="77">
        <f t="shared" si="32"/>
        <v>6.2814070351758797E-3</v>
      </c>
    </row>
    <row r="1728" spans="1:6" x14ac:dyDescent="0.25">
      <c r="A1728" s="78">
        <v>0.5</v>
      </c>
      <c r="B1728" s="78">
        <v>9</v>
      </c>
      <c r="C1728" s="26">
        <v>1.6</v>
      </c>
      <c r="D1728" s="26">
        <v>3</v>
      </c>
      <c r="E1728" s="75">
        <v>477</v>
      </c>
      <c r="F1728" s="77">
        <f t="shared" si="32"/>
        <v>6.2893081761006293E-3</v>
      </c>
    </row>
    <row r="1729" spans="1:6" x14ac:dyDescent="0.25">
      <c r="A1729" s="78">
        <v>0.5</v>
      </c>
      <c r="B1729" s="78">
        <v>9</v>
      </c>
      <c r="C1729" s="26">
        <v>1.8</v>
      </c>
      <c r="D1729" s="26">
        <v>0.5</v>
      </c>
      <c r="E1729" s="75">
        <v>82</v>
      </c>
      <c r="F1729" s="77">
        <f t="shared" si="32"/>
        <v>6.0975609756097563E-3</v>
      </c>
    </row>
    <row r="1730" spans="1:6" x14ac:dyDescent="0.25">
      <c r="A1730" s="78">
        <v>0.5</v>
      </c>
      <c r="B1730" s="78">
        <v>9</v>
      </c>
      <c r="C1730" s="26">
        <v>1.8</v>
      </c>
      <c r="D1730" s="26">
        <v>1</v>
      </c>
      <c r="E1730" s="75">
        <v>163</v>
      </c>
      <c r="F1730" s="77">
        <f t="shared" si="32"/>
        <v>6.1349693251533744E-3</v>
      </c>
    </row>
    <row r="1731" spans="1:6" x14ac:dyDescent="0.25">
      <c r="A1731" s="78">
        <v>0.5</v>
      </c>
      <c r="B1731" s="78">
        <v>9</v>
      </c>
      <c r="C1731" s="26">
        <v>1.8</v>
      </c>
      <c r="D1731" s="26">
        <v>1.5</v>
      </c>
      <c r="E1731" s="75">
        <v>245</v>
      </c>
      <c r="F1731" s="77">
        <f t="shared" si="32"/>
        <v>6.1224489795918364E-3</v>
      </c>
    </row>
    <row r="1732" spans="1:6" x14ac:dyDescent="0.25">
      <c r="A1732" s="78">
        <v>0.5</v>
      </c>
      <c r="B1732" s="78">
        <v>9</v>
      </c>
      <c r="C1732" s="26">
        <v>1.8</v>
      </c>
      <c r="D1732" s="26">
        <v>2</v>
      </c>
      <c r="E1732" s="75">
        <v>326</v>
      </c>
      <c r="F1732" s="77">
        <f t="shared" si="32"/>
        <v>6.1349693251533744E-3</v>
      </c>
    </row>
    <row r="1733" spans="1:6" x14ac:dyDescent="0.25">
      <c r="A1733" s="78">
        <v>0.5</v>
      </c>
      <c r="B1733" s="78">
        <v>9</v>
      </c>
      <c r="C1733" s="26">
        <v>1.8</v>
      </c>
      <c r="D1733" s="26">
        <v>2.5</v>
      </c>
      <c r="E1733" s="75">
        <v>408</v>
      </c>
      <c r="F1733" s="77">
        <f t="shared" si="32"/>
        <v>6.1274509803921568E-3</v>
      </c>
    </row>
    <row r="1734" spans="1:6" x14ac:dyDescent="0.25">
      <c r="A1734" s="78">
        <v>0.5</v>
      </c>
      <c r="B1734" s="78">
        <v>9</v>
      </c>
      <c r="C1734" s="26">
        <v>1.8</v>
      </c>
      <c r="D1734" s="26">
        <v>3</v>
      </c>
      <c r="E1734" s="75">
        <v>489</v>
      </c>
      <c r="F1734" s="77">
        <f t="shared" si="32"/>
        <v>6.1349693251533744E-3</v>
      </c>
    </row>
    <row r="1735" spans="1:6" x14ac:dyDescent="0.25">
      <c r="A1735" s="78">
        <v>0.5</v>
      </c>
      <c r="B1735" s="78">
        <v>9</v>
      </c>
      <c r="C1735" s="26">
        <v>2</v>
      </c>
      <c r="D1735" s="26">
        <v>0.5</v>
      </c>
      <c r="E1735" s="75">
        <v>83</v>
      </c>
      <c r="F1735" s="77">
        <f t="shared" si="32"/>
        <v>6.024096385542169E-3</v>
      </c>
    </row>
    <row r="1736" spans="1:6" x14ac:dyDescent="0.25">
      <c r="A1736" s="78">
        <v>0.5</v>
      </c>
      <c r="B1736" s="78">
        <v>9</v>
      </c>
      <c r="C1736" s="26">
        <v>2</v>
      </c>
      <c r="D1736" s="26">
        <v>1</v>
      </c>
      <c r="E1736" s="75">
        <v>167</v>
      </c>
      <c r="F1736" s="77">
        <f t="shared" si="32"/>
        <v>5.9880239520958087E-3</v>
      </c>
    </row>
    <row r="1737" spans="1:6" x14ac:dyDescent="0.25">
      <c r="A1737" s="78">
        <v>0.5</v>
      </c>
      <c r="B1737" s="78">
        <v>9</v>
      </c>
      <c r="C1737" s="26">
        <v>2</v>
      </c>
      <c r="D1737" s="26">
        <v>1.5</v>
      </c>
      <c r="E1737" s="75">
        <v>250</v>
      </c>
      <c r="F1737" s="77">
        <f t="shared" si="32"/>
        <v>6.0000000000000001E-3</v>
      </c>
    </row>
    <row r="1738" spans="1:6" x14ac:dyDescent="0.25">
      <c r="A1738" s="78">
        <v>0.5</v>
      </c>
      <c r="B1738" s="78">
        <v>9</v>
      </c>
      <c r="C1738" s="26">
        <v>2</v>
      </c>
      <c r="D1738" s="26">
        <v>2</v>
      </c>
      <c r="E1738" s="75">
        <v>333</v>
      </c>
      <c r="F1738" s="77">
        <f t="shared" si="32"/>
        <v>6.006006006006006E-3</v>
      </c>
    </row>
    <row r="1739" spans="1:6" x14ac:dyDescent="0.25">
      <c r="A1739" s="78">
        <v>0.5</v>
      </c>
      <c r="B1739" s="78">
        <v>9</v>
      </c>
      <c r="C1739" s="26">
        <v>2</v>
      </c>
      <c r="D1739" s="26">
        <v>2.5</v>
      </c>
      <c r="E1739" s="75">
        <v>417</v>
      </c>
      <c r="F1739" s="77">
        <f t="shared" si="32"/>
        <v>5.9952038369304557E-3</v>
      </c>
    </row>
    <row r="1740" spans="1:6" x14ac:dyDescent="0.25">
      <c r="A1740" s="78">
        <v>0.5</v>
      </c>
      <c r="B1740" s="78">
        <v>9</v>
      </c>
      <c r="C1740" s="26">
        <v>2</v>
      </c>
      <c r="D1740" s="26">
        <v>3</v>
      </c>
      <c r="E1740" s="75">
        <v>500</v>
      </c>
      <c r="F1740" s="77">
        <f t="shared" si="32"/>
        <v>6.0000000000000001E-3</v>
      </c>
    </row>
    <row r="1741" spans="1:6" x14ac:dyDescent="0.25">
      <c r="A1741" s="78">
        <v>0.5</v>
      </c>
      <c r="B1741" s="78">
        <v>9</v>
      </c>
      <c r="C1741" s="26">
        <v>2.2000000000000002</v>
      </c>
      <c r="D1741" s="26">
        <v>0.5</v>
      </c>
      <c r="E1741" s="75">
        <v>85</v>
      </c>
      <c r="F1741" s="77">
        <f t="shared" si="32"/>
        <v>5.8823529411764705E-3</v>
      </c>
    </row>
    <row r="1742" spans="1:6" x14ac:dyDescent="0.25">
      <c r="A1742" s="78">
        <v>0.5</v>
      </c>
      <c r="B1742" s="78">
        <v>9</v>
      </c>
      <c r="C1742" s="26">
        <v>2.2000000000000002</v>
      </c>
      <c r="D1742" s="26">
        <v>1</v>
      </c>
      <c r="E1742" s="75">
        <v>170</v>
      </c>
      <c r="F1742" s="77">
        <f t="shared" si="32"/>
        <v>5.8823529411764705E-3</v>
      </c>
    </row>
    <row r="1743" spans="1:6" x14ac:dyDescent="0.25">
      <c r="A1743" s="78">
        <v>0.5</v>
      </c>
      <c r="B1743" s="78">
        <v>9</v>
      </c>
      <c r="C1743" s="26">
        <v>2.2000000000000002</v>
      </c>
      <c r="D1743" s="26">
        <v>1.5</v>
      </c>
      <c r="E1743" s="75">
        <v>256</v>
      </c>
      <c r="F1743" s="77">
        <f t="shared" si="32"/>
        <v>5.859375E-3</v>
      </c>
    </row>
    <row r="1744" spans="1:6" x14ac:dyDescent="0.25">
      <c r="A1744" s="78">
        <v>0.5</v>
      </c>
      <c r="B1744" s="78">
        <v>9</v>
      </c>
      <c r="C1744" s="26">
        <v>2.2000000000000002</v>
      </c>
      <c r="D1744" s="26">
        <v>2</v>
      </c>
      <c r="E1744" s="75">
        <v>341</v>
      </c>
      <c r="F1744" s="77">
        <f t="shared" si="32"/>
        <v>5.8651026392961877E-3</v>
      </c>
    </row>
    <row r="1745" spans="1:6" x14ac:dyDescent="0.25">
      <c r="A1745" s="78">
        <v>0.5</v>
      </c>
      <c r="B1745" s="78">
        <v>9</v>
      </c>
      <c r="C1745" s="26">
        <v>2.2000000000000002</v>
      </c>
      <c r="D1745" s="26">
        <v>2.5</v>
      </c>
      <c r="E1745" s="75">
        <v>426</v>
      </c>
      <c r="F1745" s="77">
        <f t="shared" si="32"/>
        <v>5.8685446009389668E-3</v>
      </c>
    </row>
    <row r="1746" spans="1:6" x14ac:dyDescent="0.25">
      <c r="A1746" s="78">
        <v>0.5</v>
      </c>
      <c r="B1746" s="78">
        <v>9</v>
      </c>
      <c r="C1746" s="26">
        <v>2.2000000000000002</v>
      </c>
      <c r="D1746" s="26">
        <v>3</v>
      </c>
      <c r="E1746" s="75">
        <v>511</v>
      </c>
      <c r="F1746" s="77">
        <f t="shared" si="32"/>
        <v>5.8708414872798431E-3</v>
      </c>
    </row>
    <row r="1747" spans="1:6" x14ac:dyDescent="0.25">
      <c r="A1747" s="78">
        <v>0.5</v>
      </c>
      <c r="B1747" s="78">
        <v>9</v>
      </c>
      <c r="C1747" s="26">
        <v>2.4</v>
      </c>
      <c r="D1747" s="26">
        <v>0.5</v>
      </c>
      <c r="E1747" s="75">
        <v>87</v>
      </c>
      <c r="F1747" s="77">
        <f t="shared" si="32"/>
        <v>5.7471264367816091E-3</v>
      </c>
    </row>
    <row r="1748" spans="1:6" x14ac:dyDescent="0.25">
      <c r="A1748" s="78">
        <v>0.5</v>
      </c>
      <c r="B1748" s="78">
        <v>9</v>
      </c>
      <c r="C1748" s="26">
        <v>2.4</v>
      </c>
      <c r="D1748" s="26">
        <v>1</v>
      </c>
      <c r="E1748" s="75">
        <v>174</v>
      </c>
      <c r="F1748" s="77">
        <f t="shared" si="32"/>
        <v>5.7471264367816091E-3</v>
      </c>
    </row>
    <row r="1749" spans="1:6" x14ac:dyDescent="0.25">
      <c r="A1749" s="78">
        <v>0.5</v>
      </c>
      <c r="B1749" s="78">
        <v>9</v>
      </c>
      <c r="C1749" s="26">
        <v>2.4</v>
      </c>
      <c r="D1749" s="26">
        <v>1.5</v>
      </c>
      <c r="E1749" s="75">
        <v>261</v>
      </c>
      <c r="F1749" s="77">
        <f t="shared" si="32"/>
        <v>5.7471264367816091E-3</v>
      </c>
    </row>
    <row r="1750" spans="1:6" x14ac:dyDescent="0.25">
      <c r="A1750" s="78">
        <v>0.5</v>
      </c>
      <c r="B1750" s="78">
        <v>9</v>
      </c>
      <c r="C1750" s="26">
        <v>2.4</v>
      </c>
      <c r="D1750" s="26">
        <v>2</v>
      </c>
      <c r="E1750" s="75">
        <v>348</v>
      </c>
      <c r="F1750" s="77">
        <f t="shared" si="32"/>
        <v>5.7471264367816091E-3</v>
      </c>
    </row>
    <row r="1751" spans="1:6" x14ac:dyDescent="0.25">
      <c r="A1751" s="78">
        <v>0.5</v>
      </c>
      <c r="B1751" s="78">
        <v>9</v>
      </c>
      <c r="C1751" s="26">
        <v>2.4</v>
      </c>
      <c r="D1751" s="26">
        <v>2.5</v>
      </c>
      <c r="E1751" s="75">
        <v>435</v>
      </c>
      <c r="F1751" s="77">
        <f t="shared" ref="F1751:F1770" si="33">D1751/E1751</f>
        <v>5.7471264367816091E-3</v>
      </c>
    </row>
    <row r="1752" spans="1:6" x14ac:dyDescent="0.25">
      <c r="A1752" s="78">
        <v>0.5</v>
      </c>
      <c r="B1752" s="78">
        <v>9</v>
      </c>
      <c r="C1752" s="26">
        <v>2.4</v>
      </c>
      <c r="D1752" s="26">
        <v>3</v>
      </c>
      <c r="E1752" s="75">
        <v>522</v>
      </c>
      <c r="F1752" s="77">
        <f t="shared" si="33"/>
        <v>5.7471264367816091E-3</v>
      </c>
    </row>
    <row r="1753" spans="1:6" x14ac:dyDescent="0.25">
      <c r="A1753" s="78">
        <v>0.5</v>
      </c>
      <c r="B1753" s="78">
        <v>9</v>
      </c>
      <c r="C1753" s="26">
        <v>2.6</v>
      </c>
      <c r="D1753" s="26">
        <v>0.5</v>
      </c>
      <c r="E1753" s="75">
        <v>89</v>
      </c>
      <c r="F1753" s="77">
        <f t="shared" si="33"/>
        <v>5.6179775280898875E-3</v>
      </c>
    </row>
    <row r="1754" spans="1:6" x14ac:dyDescent="0.25">
      <c r="A1754" s="78">
        <v>0.5</v>
      </c>
      <c r="B1754" s="78">
        <v>9</v>
      </c>
      <c r="C1754" s="26">
        <v>2.6</v>
      </c>
      <c r="D1754" s="26">
        <v>1</v>
      </c>
      <c r="E1754" s="75">
        <v>178</v>
      </c>
      <c r="F1754" s="77">
        <f t="shared" si="33"/>
        <v>5.6179775280898875E-3</v>
      </c>
    </row>
    <row r="1755" spans="1:6" x14ac:dyDescent="0.25">
      <c r="A1755" s="78">
        <v>0.5</v>
      </c>
      <c r="B1755" s="78">
        <v>9</v>
      </c>
      <c r="C1755" s="26">
        <v>2.6</v>
      </c>
      <c r="D1755" s="26">
        <v>1.5</v>
      </c>
      <c r="E1755" s="75">
        <v>267</v>
      </c>
      <c r="F1755" s="77">
        <f t="shared" si="33"/>
        <v>5.6179775280898875E-3</v>
      </c>
    </row>
    <row r="1756" spans="1:6" x14ac:dyDescent="0.25">
      <c r="A1756" s="78">
        <v>0.5</v>
      </c>
      <c r="B1756" s="78">
        <v>9</v>
      </c>
      <c r="C1756" s="26">
        <v>2.6</v>
      </c>
      <c r="D1756" s="26">
        <v>2</v>
      </c>
      <c r="E1756" s="75">
        <v>355</v>
      </c>
      <c r="F1756" s="77">
        <f t="shared" si="33"/>
        <v>5.6338028169014088E-3</v>
      </c>
    </row>
    <row r="1757" spans="1:6" x14ac:dyDescent="0.25">
      <c r="A1757" s="78">
        <v>0.5</v>
      </c>
      <c r="B1757" s="78">
        <v>9</v>
      </c>
      <c r="C1757" s="26">
        <v>2.6</v>
      </c>
      <c r="D1757" s="26">
        <v>2.5</v>
      </c>
      <c r="E1757" s="75">
        <v>444</v>
      </c>
      <c r="F1757" s="77">
        <f t="shared" si="33"/>
        <v>5.6306306306306304E-3</v>
      </c>
    </row>
    <row r="1758" spans="1:6" x14ac:dyDescent="0.25">
      <c r="A1758" s="78">
        <v>0.5</v>
      </c>
      <c r="B1758" s="78">
        <v>9</v>
      </c>
      <c r="C1758" s="26">
        <v>2.6</v>
      </c>
      <c r="D1758" s="26">
        <v>3</v>
      </c>
      <c r="E1758" s="75">
        <v>533</v>
      </c>
      <c r="F1758" s="77">
        <f t="shared" si="33"/>
        <v>5.6285178236397749E-3</v>
      </c>
    </row>
    <row r="1759" spans="1:6" x14ac:dyDescent="0.25">
      <c r="A1759" s="78">
        <v>0.5</v>
      </c>
      <c r="B1759" s="78">
        <v>9</v>
      </c>
      <c r="C1759" s="26">
        <v>2.8</v>
      </c>
      <c r="D1759" s="26">
        <v>0.5</v>
      </c>
      <c r="E1759" s="75">
        <v>91</v>
      </c>
      <c r="F1759" s="77">
        <f t="shared" si="33"/>
        <v>5.4945054945054949E-3</v>
      </c>
    </row>
    <row r="1760" spans="1:6" x14ac:dyDescent="0.25">
      <c r="A1760" s="78">
        <v>0.5</v>
      </c>
      <c r="B1760" s="78">
        <v>9</v>
      </c>
      <c r="C1760" s="26">
        <v>2.8</v>
      </c>
      <c r="D1760" s="26">
        <v>1</v>
      </c>
      <c r="E1760" s="75">
        <v>181</v>
      </c>
      <c r="F1760" s="77">
        <f t="shared" si="33"/>
        <v>5.5248618784530384E-3</v>
      </c>
    </row>
    <row r="1761" spans="1:6" x14ac:dyDescent="0.25">
      <c r="A1761" s="78">
        <v>0.5</v>
      </c>
      <c r="B1761" s="78">
        <v>9</v>
      </c>
      <c r="C1761" s="26">
        <v>2.8</v>
      </c>
      <c r="D1761" s="26">
        <v>1.5</v>
      </c>
      <c r="E1761" s="75">
        <v>272</v>
      </c>
      <c r="F1761" s="77">
        <f t="shared" si="33"/>
        <v>5.5147058823529415E-3</v>
      </c>
    </row>
    <row r="1762" spans="1:6" x14ac:dyDescent="0.25">
      <c r="A1762" s="78">
        <v>0.5</v>
      </c>
      <c r="B1762" s="78">
        <v>9</v>
      </c>
      <c r="C1762" s="26">
        <v>2.8</v>
      </c>
      <c r="D1762" s="26">
        <v>2</v>
      </c>
      <c r="E1762" s="75">
        <v>362</v>
      </c>
      <c r="F1762" s="77">
        <f t="shared" si="33"/>
        <v>5.5248618784530384E-3</v>
      </c>
    </row>
    <row r="1763" spans="1:6" x14ac:dyDescent="0.25">
      <c r="A1763" s="78">
        <v>0.5</v>
      </c>
      <c r="B1763" s="78">
        <v>9</v>
      </c>
      <c r="C1763" s="26">
        <v>2.8</v>
      </c>
      <c r="D1763" s="26">
        <v>2.5</v>
      </c>
      <c r="E1763" s="75">
        <v>453</v>
      </c>
      <c r="F1763" s="77">
        <f t="shared" si="33"/>
        <v>5.5187637969094927E-3</v>
      </c>
    </row>
    <row r="1764" spans="1:6" x14ac:dyDescent="0.25">
      <c r="A1764" s="78">
        <v>0.5</v>
      </c>
      <c r="B1764" s="78">
        <v>9</v>
      </c>
      <c r="C1764" s="26">
        <v>2.8</v>
      </c>
      <c r="D1764" s="26">
        <v>3</v>
      </c>
      <c r="E1764" s="75">
        <v>543</v>
      </c>
      <c r="F1764" s="77">
        <f t="shared" si="33"/>
        <v>5.5248618784530384E-3</v>
      </c>
    </row>
    <row r="1765" spans="1:6" x14ac:dyDescent="0.25">
      <c r="A1765" s="78">
        <v>0.5</v>
      </c>
      <c r="B1765" s="78">
        <v>9</v>
      </c>
      <c r="C1765" s="26">
        <v>3</v>
      </c>
      <c r="D1765" s="26">
        <v>0.5</v>
      </c>
      <c r="E1765" s="75">
        <v>92</v>
      </c>
      <c r="F1765" s="77">
        <f t="shared" si="33"/>
        <v>5.434782608695652E-3</v>
      </c>
    </row>
    <row r="1766" spans="1:6" x14ac:dyDescent="0.25">
      <c r="A1766" s="78">
        <v>0.5</v>
      </c>
      <c r="B1766" s="78">
        <v>9</v>
      </c>
      <c r="C1766" s="26">
        <v>3</v>
      </c>
      <c r="D1766" s="26">
        <v>1</v>
      </c>
      <c r="E1766" s="75">
        <v>184</v>
      </c>
      <c r="F1766" s="77">
        <f t="shared" si="33"/>
        <v>5.434782608695652E-3</v>
      </c>
    </row>
    <row r="1767" spans="1:6" x14ac:dyDescent="0.25">
      <c r="A1767" s="78">
        <v>0.5</v>
      </c>
      <c r="B1767" s="78">
        <v>9</v>
      </c>
      <c r="C1767" s="26">
        <v>3</v>
      </c>
      <c r="D1767" s="26">
        <v>1.5</v>
      </c>
      <c r="E1767" s="75">
        <v>276</v>
      </c>
      <c r="F1767" s="77">
        <f t="shared" si="33"/>
        <v>5.434782608695652E-3</v>
      </c>
    </row>
    <row r="1768" spans="1:6" x14ac:dyDescent="0.25">
      <c r="A1768" s="78">
        <v>0.5</v>
      </c>
      <c r="B1768" s="78">
        <v>9</v>
      </c>
      <c r="C1768" s="26">
        <v>3</v>
      </c>
      <c r="D1768" s="26">
        <v>2</v>
      </c>
      <c r="E1768" s="75">
        <v>368</v>
      </c>
      <c r="F1768" s="77">
        <f t="shared" si="33"/>
        <v>5.434782608695652E-3</v>
      </c>
    </row>
    <row r="1769" spans="1:6" x14ac:dyDescent="0.25">
      <c r="A1769" s="78">
        <v>0.5</v>
      </c>
      <c r="B1769" s="78">
        <v>9</v>
      </c>
      <c r="C1769" s="26">
        <v>3</v>
      </c>
      <c r="D1769" s="26">
        <v>2.5</v>
      </c>
      <c r="E1769" s="75">
        <v>460</v>
      </c>
      <c r="F1769" s="77">
        <f t="shared" si="33"/>
        <v>5.434782608695652E-3</v>
      </c>
    </row>
    <row r="1770" spans="1:6" x14ac:dyDescent="0.25">
      <c r="A1770" s="78">
        <v>0.5</v>
      </c>
      <c r="B1770" s="78">
        <v>9</v>
      </c>
      <c r="C1770" s="73">
        <v>3</v>
      </c>
      <c r="D1770" s="73">
        <v>3</v>
      </c>
      <c r="E1770" s="75">
        <v>552</v>
      </c>
      <c r="F1770" s="77">
        <f t="shared" si="33"/>
        <v>5.434782608695652E-3</v>
      </c>
    </row>
    <row r="1771" spans="1:6" x14ac:dyDescent="0.25">
      <c r="A1771" s="78"/>
      <c r="B1771" s="78"/>
      <c r="C1771" s="26"/>
      <c r="D1771" s="26"/>
      <c r="E1771" s="75"/>
      <c r="F1771" s="78"/>
    </row>
    <row r="1772" spans="1:6" x14ac:dyDescent="0.25">
      <c r="A1772" s="78">
        <v>5</v>
      </c>
      <c r="B1772" s="78">
        <v>9</v>
      </c>
      <c r="C1772" s="26">
        <v>0.4</v>
      </c>
      <c r="D1772" s="26">
        <v>0.5</v>
      </c>
      <c r="E1772" s="75">
        <v>47</v>
      </c>
      <c r="F1772">
        <f t="shared" ref="F1772:F1835" si="34">D1772/E1772</f>
        <v>1.0638297872340425E-2</v>
      </c>
    </row>
    <row r="1773" spans="1:6" x14ac:dyDescent="0.25">
      <c r="A1773" s="78">
        <v>5</v>
      </c>
      <c r="B1773" s="78">
        <v>9</v>
      </c>
      <c r="C1773" s="26">
        <v>0.4</v>
      </c>
      <c r="D1773" s="26">
        <v>1</v>
      </c>
      <c r="E1773" s="75">
        <v>93</v>
      </c>
      <c r="F1773">
        <f t="shared" si="34"/>
        <v>1.0752688172043012E-2</v>
      </c>
    </row>
    <row r="1774" spans="1:6" x14ac:dyDescent="0.25">
      <c r="A1774" s="78">
        <v>5</v>
      </c>
      <c r="B1774" s="78">
        <v>9</v>
      </c>
      <c r="C1774" s="26">
        <v>0.4</v>
      </c>
      <c r="D1774" s="26">
        <v>1.5</v>
      </c>
      <c r="E1774" s="75">
        <v>140</v>
      </c>
      <c r="F1774">
        <f t="shared" si="34"/>
        <v>1.0714285714285714E-2</v>
      </c>
    </row>
    <row r="1775" spans="1:6" x14ac:dyDescent="0.25">
      <c r="A1775" s="78">
        <v>5</v>
      </c>
      <c r="B1775" s="78">
        <v>9</v>
      </c>
      <c r="C1775" s="26">
        <v>0.4</v>
      </c>
      <c r="D1775" s="26">
        <v>2</v>
      </c>
      <c r="E1775" s="75">
        <v>186</v>
      </c>
      <c r="F1775">
        <f t="shared" si="34"/>
        <v>1.0752688172043012E-2</v>
      </c>
    </row>
    <row r="1776" spans="1:6" x14ac:dyDescent="0.25">
      <c r="A1776" s="78">
        <v>5</v>
      </c>
      <c r="B1776" s="78">
        <v>9</v>
      </c>
      <c r="C1776" s="26">
        <v>0.4</v>
      </c>
      <c r="D1776" s="26">
        <v>2.5</v>
      </c>
      <c r="E1776" s="75">
        <v>233</v>
      </c>
      <c r="F1776">
        <f t="shared" si="34"/>
        <v>1.0729613733905579E-2</v>
      </c>
    </row>
    <row r="1777" spans="1:6" x14ac:dyDescent="0.25">
      <c r="A1777" s="78">
        <v>5</v>
      </c>
      <c r="B1777" s="78">
        <v>9</v>
      </c>
      <c r="C1777" s="26">
        <v>0.4</v>
      </c>
      <c r="D1777" s="26">
        <v>3</v>
      </c>
      <c r="E1777" s="75">
        <v>279</v>
      </c>
      <c r="F1777">
        <f t="shared" si="34"/>
        <v>1.0752688172043012E-2</v>
      </c>
    </row>
    <row r="1778" spans="1:6" x14ac:dyDescent="0.25">
      <c r="A1778" s="78">
        <v>5</v>
      </c>
      <c r="B1778" s="78">
        <v>9</v>
      </c>
      <c r="C1778" s="26">
        <v>0.6</v>
      </c>
      <c r="D1778" s="26">
        <v>0.5</v>
      </c>
      <c r="E1778" s="75">
        <v>49</v>
      </c>
      <c r="F1778">
        <f t="shared" si="34"/>
        <v>1.020408163265306E-2</v>
      </c>
    </row>
    <row r="1779" spans="1:6" x14ac:dyDescent="0.25">
      <c r="A1779" s="78">
        <v>5</v>
      </c>
      <c r="B1779" s="78">
        <v>9</v>
      </c>
      <c r="C1779" s="26">
        <v>0.6</v>
      </c>
      <c r="D1779" s="26">
        <v>1</v>
      </c>
      <c r="E1779" s="75">
        <v>97</v>
      </c>
      <c r="F1779">
        <f t="shared" si="34"/>
        <v>1.0309278350515464E-2</v>
      </c>
    </row>
    <row r="1780" spans="1:6" x14ac:dyDescent="0.25">
      <c r="A1780" s="78">
        <v>5</v>
      </c>
      <c r="B1780" s="78">
        <v>9</v>
      </c>
      <c r="C1780" s="26">
        <v>0.6</v>
      </c>
      <c r="D1780" s="26">
        <v>1.5</v>
      </c>
      <c r="E1780" s="75">
        <v>146</v>
      </c>
      <c r="F1780">
        <f t="shared" si="34"/>
        <v>1.0273972602739725E-2</v>
      </c>
    </row>
    <row r="1781" spans="1:6" x14ac:dyDescent="0.25">
      <c r="A1781" s="78">
        <v>5</v>
      </c>
      <c r="B1781" s="78">
        <v>9</v>
      </c>
      <c r="C1781" s="26">
        <v>0.6</v>
      </c>
      <c r="D1781" s="26">
        <v>2</v>
      </c>
      <c r="E1781" s="75">
        <v>194</v>
      </c>
      <c r="F1781">
        <f t="shared" si="34"/>
        <v>1.0309278350515464E-2</v>
      </c>
    </row>
    <row r="1782" spans="1:6" x14ac:dyDescent="0.25">
      <c r="A1782" s="78">
        <v>5</v>
      </c>
      <c r="B1782" s="78">
        <v>9</v>
      </c>
      <c r="C1782" s="26">
        <v>0.6</v>
      </c>
      <c r="D1782" s="26">
        <v>2.5</v>
      </c>
      <c r="E1782" s="75">
        <v>243</v>
      </c>
      <c r="F1782">
        <f t="shared" si="34"/>
        <v>1.0288065843621399E-2</v>
      </c>
    </row>
    <row r="1783" spans="1:6" x14ac:dyDescent="0.25">
      <c r="A1783" s="78">
        <v>5</v>
      </c>
      <c r="B1783" s="78">
        <v>9</v>
      </c>
      <c r="C1783" s="26">
        <v>0.6</v>
      </c>
      <c r="D1783" s="26">
        <v>3</v>
      </c>
      <c r="E1783" s="75">
        <v>291</v>
      </c>
      <c r="F1783">
        <f t="shared" si="34"/>
        <v>1.0309278350515464E-2</v>
      </c>
    </row>
    <row r="1784" spans="1:6" x14ac:dyDescent="0.25">
      <c r="A1784" s="78">
        <v>5</v>
      </c>
      <c r="B1784" s="78">
        <v>9</v>
      </c>
      <c r="C1784" s="26">
        <v>0.8</v>
      </c>
      <c r="D1784" s="26">
        <v>0.5</v>
      </c>
      <c r="E1784" s="75">
        <v>50</v>
      </c>
      <c r="F1784">
        <f t="shared" si="34"/>
        <v>0.01</v>
      </c>
    </row>
    <row r="1785" spans="1:6" x14ac:dyDescent="0.25">
      <c r="A1785" s="78">
        <v>5</v>
      </c>
      <c r="B1785" s="78">
        <v>9</v>
      </c>
      <c r="C1785" s="26">
        <v>0.8</v>
      </c>
      <c r="D1785" s="26">
        <v>1</v>
      </c>
      <c r="E1785" s="75">
        <v>100</v>
      </c>
      <c r="F1785">
        <f t="shared" si="34"/>
        <v>0.01</v>
      </c>
    </row>
    <row r="1786" spans="1:6" x14ac:dyDescent="0.25">
      <c r="A1786" s="78">
        <v>5</v>
      </c>
      <c r="B1786" s="78">
        <v>9</v>
      </c>
      <c r="C1786" s="26">
        <v>0.8</v>
      </c>
      <c r="D1786" s="26">
        <v>1.5</v>
      </c>
      <c r="E1786" s="75">
        <v>151</v>
      </c>
      <c r="F1786">
        <f t="shared" si="34"/>
        <v>9.9337748344370865E-3</v>
      </c>
    </row>
    <row r="1787" spans="1:6" x14ac:dyDescent="0.25">
      <c r="A1787" s="78">
        <v>5</v>
      </c>
      <c r="B1787" s="78">
        <v>9</v>
      </c>
      <c r="C1787" s="26">
        <v>0.8</v>
      </c>
      <c r="D1787" s="26">
        <v>2</v>
      </c>
      <c r="E1787" s="75">
        <v>201</v>
      </c>
      <c r="F1787">
        <f t="shared" si="34"/>
        <v>9.9502487562189053E-3</v>
      </c>
    </row>
    <row r="1788" spans="1:6" x14ac:dyDescent="0.25">
      <c r="A1788" s="78">
        <v>5</v>
      </c>
      <c r="B1788" s="78">
        <v>9</v>
      </c>
      <c r="C1788" s="26">
        <v>0.8</v>
      </c>
      <c r="D1788" s="26">
        <v>2.5</v>
      </c>
      <c r="E1788" s="75">
        <v>251</v>
      </c>
      <c r="F1788">
        <f t="shared" si="34"/>
        <v>9.9601593625498006E-3</v>
      </c>
    </row>
    <row r="1789" spans="1:6" x14ac:dyDescent="0.25">
      <c r="A1789" s="78">
        <v>5</v>
      </c>
      <c r="B1789" s="78">
        <v>9</v>
      </c>
      <c r="C1789" s="26">
        <v>0.8</v>
      </c>
      <c r="D1789" s="26">
        <v>3</v>
      </c>
      <c r="E1789" s="75">
        <v>301</v>
      </c>
      <c r="F1789">
        <f t="shared" si="34"/>
        <v>9.9667774086378731E-3</v>
      </c>
    </row>
    <row r="1790" spans="1:6" x14ac:dyDescent="0.25">
      <c r="A1790" s="78">
        <v>5</v>
      </c>
      <c r="B1790" s="78">
        <v>9</v>
      </c>
      <c r="C1790" s="26">
        <v>1</v>
      </c>
      <c r="D1790" s="26">
        <v>0.5</v>
      </c>
      <c r="E1790" s="75">
        <v>52</v>
      </c>
      <c r="F1790">
        <f t="shared" si="34"/>
        <v>9.6153846153846159E-3</v>
      </c>
    </row>
    <row r="1791" spans="1:6" x14ac:dyDescent="0.25">
      <c r="A1791" s="78">
        <v>5</v>
      </c>
      <c r="B1791" s="78">
        <v>9</v>
      </c>
      <c r="C1791" s="26">
        <v>1</v>
      </c>
      <c r="D1791" s="26">
        <v>1</v>
      </c>
      <c r="E1791" s="75">
        <v>104</v>
      </c>
      <c r="F1791">
        <f t="shared" si="34"/>
        <v>9.6153846153846159E-3</v>
      </c>
    </row>
    <row r="1792" spans="1:6" x14ac:dyDescent="0.25">
      <c r="A1792" s="78">
        <v>5</v>
      </c>
      <c r="B1792" s="78">
        <v>9</v>
      </c>
      <c r="C1792" s="26">
        <v>1</v>
      </c>
      <c r="D1792" s="26">
        <v>1.5</v>
      </c>
      <c r="E1792" s="75">
        <v>156</v>
      </c>
      <c r="F1792">
        <f t="shared" si="34"/>
        <v>9.6153846153846159E-3</v>
      </c>
    </row>
    <row r="1793" spans="1:6" x14ac:dyDescent="0.25">
      <c r="A1793" s="78">
        <v>5</v>
      </c>
      <c r="B1793" s="78">
        <v>9</v>
      </c>
      <c r="C1793" s="26">
        <v>1</v>
      </c>
      <c r="D1793" s="26">
        <v>2</v>
      </c>
      <c r="E1793" s="75">
        <v>208</v>
      </c>
      <c r="F1793">
        <f t="shared" si="34"/>
        <v>9.6153846153846159E-3</v>
      </c>
    </row>
    <row r="1794" spans="1:6" x14ac:dyDescent="0.25">
      <c r="A1794" s="78">
        <v>5</v>
      </c>
      <c r="B1794" s="78">
        <v>9</v>
      </c>
      <c r="C1794" s="26">
        <v>1</v>
      </c>
      <c r="D1794" s="26">
        <v>2.5</v>
      </c>
      <c r="E1794" s="75">
        <v>260</v>
      </c>
      <c r="F1794">
        <f t="shared" si="34"/>
        <v>9.6153846153846159E-3</v>
      </c>
    </row>
    <row r="1795" spans="1:6" x14ac:dyDescent="0.25">
      <c r="A1795" s="78">
        <v>5</v>
      </c>
      <c r="B1795" s="78">
        <v>9</v>
      </c>
      <c r="C1795" s="26">
        <v>1</v>
      </c>
      <c r="D1795" s="26">
        <v>3</v>
      </c>
      <c r="E1795" s="75">
        <v>312</v>
      </c>
      <c r="F1795">
        <f t="shared" si="34"/>
        <v>9.6153846153846159E-3</v>
      </c>
    </row>
    <row r="1796" spans="1:6" x14ac:dyDescent="0.25">
      <c r="A1796" s="78">
        <v>5</v>
      </c>
      <c r="B1796" s="78">
        <v>9</v>
      </c>
      <c r="C1796" s="26">
        <v>1.2</v>
      </c>
      <c r="D1796" s="26">
        <v>0.5</v>
      </c>
      <c r="E1796" s="75">
        <v>53</v>
      </c>
      <c r="F1796">
        <f t="shared" si="34"/>
        <v>9.433962264150943E-3</v>
      </c>
    </row>
    <row r="1797" spans="1:6" x14ac:dyDescent="0.25">
      <c r="A1797" s="78">
        <v>5</v>
      </c>
      <c r="B1797" s="78">
        <v>9</v>
      </c>
      <c r="C1797" s="26">
        <v>1.2</v>
      </c>
      <c r="D1797" s="26">
        <v>1</v>
      </c>
      <c r="E1797" s="75">
        <v>107</v>
      </c>
      <c r="F1797">
        <f t="shared" si="34"/>
        <v>9.3457943925233638E-3</v>
      </c>
    </row>
    <row r="1798" spans="1:6" x14ac:dyDescent="0.25">
      <c r="A1798" s="78">
        <v>5</v>
      </c>
      <c r="B1798" s="78">
        <v>9</v>
      </c>
      <c r="C1798" s="26">
        <v>1.2</v>
      </c>
      <c r="D1798" s="26">
        <v>1.5</v>
      </c>
      <c r="E1798" s="75">
        <v>160</v>
      </c>
      <c r="F1798">
        <f t="shared" si="34"/>
        <v>9.3749999999999997E-3</v>
      </c>
    </row>
    <row r="1799" spans="1:6" x14ac:dyDescent="0.25">
      <c r="A1799" s="78">
        <v>5</v>
      </c>
      <c r="B1799" s="78">
        <v>9</v>
      </c>
      <c r="C1799" s="26">
        <v>1.2</v>
      </c>
      <c r="D1799" s="26">
        <v>2</v>
      </c>
      <c r="E1799" s="75">
        <v>213</v>
      </c>
      <c r="F1799">
        <f t="shared" si="34"/>
        <v>9.3896713615023476E-3</v>
      </c>
    </row>
    <row r="1800" spans="1:6" x14ac:dyDescent="0.25">
      <c r="A1800" s="78">
        <v>5</v>
      </c>
      <c r="B1800" s="78">
        <v>9</v>
      </c>
      <c r="C1800" s="26">
        <v>1.2</v>
      </c>
      <c r="D1800" s="26">
        <v>2.5</v>
      </c>
      <c r="E1800" s="75">
        <v>267</v>
      </c>
      <c r="F1800">
        <f t="shared" si="34"/>
        <v>9.3632958801498131E-3</v>
      </c>
    </row>
    <row r="1801" spans="1:6" x14ac:dyDescent="0.25">
      <c r="A1801" s="78">
        <v>5</v>
      </c>
      <c r="B1801" s="78">
        <v>9</v>
      </c>
      <c r="C1801" s="26">
        <v>1.2</v>
      </c>
      <c r="D1801" s="26">
        <v>3</v>
      </c>
      <c r="E1801" s="75">
        <v>320</v>
      </c>
      <c r="F1801">
        <f t="shared" si="34"/>
        <v>9.3749999999999997E-3</v>
      </c>
    </row>
    <row r="1802" spans="1:6" x14ac:dyDescent="0.25">
      <c r="A1802" s="78">
        <v>5</v>
      </c>
      <c r="B1802" s="78">
        <v>9</v>
      </c>
      <c r="C1802" s="26">
        <v>1.4</v>
      </c>
      <c r="D1802" s="26">
        <v>0.5</v>
      </c>
      <c r="E1802" s="75">
        <v>55</v>
      </c>
      <c r="F1802">
        <f t="shared" si="34"/>
        <v>9.0909090909090905E-3</v>
      </c>
    </row>
    <row r="1803" spans="1:6" x14ac:dyDescent="0.25">
      <c r="A1803" s="78">
        <v>5</v>
      </c>
      <c r="B1803" s="78">
        <v>9</v>
      </c>
      <c r="C1803" s="26">
        <v>1.4</v>
      </c>
      <c r="D1803" s="26">
        <v>1</v>
      </c>
      <c r="E1803" s="75">
        <v>110</v>
      </c>
      <c r="F1803">
        <f t="shared" si="34"/>
        <v>9.0909090909090905E-3</v>
      </c>
    </row>
    <row r="1804" spans="1:6" x14ac:dyDescent="0.25">
      <c r="A1804" s="78">
        <v>5</v>
      </c>
      <c r="B1804" s="78">
        <v>9</v>
      </c>
      <c r="C1804" s="26">
        <v>1.4</v>
      </c>
      <c r="D1804" s="26">
        <v>1.5</v>
      </c>
      <c r="E1804" s="75">
        <v>165</v>
      </c>
      <c r="F1804">
        <f t="shared" si="34"/>
        <v>9.0909090909090905E-3</v>
      </c>
    </row>
    <row r="1805" spans="1:6" x14ac:dyDescent="0.25">
      <c r="A1805" s="78">
        <v>5</v>
      </c>
      <c r="B1805" s="78">
        <v>9</v>
      </c>
      <c r="C1805" s="26">
        <v>1.4</v>
      </c>
      <c r="D1805" s="26">
        <v>2</v>
      </c>
      <c r="E1805" s="75">
        <v>219</v>
      </c>
      <c r="F1805">
        <f t="shared" si="34"/>
        <v>9.1324200913242004E-3</v>
      </c>
    </row>
    <row r="1806" spans="1:6" x14ac:dyDescent="0.25">
      <c r="A1806" s="78">
        <v>5</v>
      </c>
      <c r="B1806" s="78">
        <v>9</v>
      </c>
      <c r="C1806" s="26">
        <v>1.4</v>
      </c>
      <c r="D1806" s="26">
        <v>2.5</v>
      </c>
      <c r="E1806" s="75">
        <v>274</v>
      </c>
      <c r="F1806">
        <f t="shared" si="34"/>
        <v>9.1240875912408752E-3</v>
      </c>
    </row>
    <row r="1807" spans="1:6" x14ac:dyDescent="0.25">
      <c r="A1807" s="78">
        <v>5</v>
      </c>
      <c r="B1807" s="78">
        <v>9</v>
      </c>
      <c r="C1807" s="26">
        <v>1.4</v>
      </c>
      <c r="D1807" s="26">
        <v>3</v>
      </c>
      <c r="E1807" s="75">
        <v>329</v>
      </c>
      <c r="F1807">
        <f t="shared" si="34"/>
        <v>9.11854103343465E-3</v>
      </c>
    </row>
    <row r="1808" spans="1:6" x14ac:dyDescent="0.25">
      <c r="A1808" s="78">
        <v>5</v>
      </c>
      <c r="B1808" s="78">
        <v>9</v>
      </c>
      <c r="C1808" s="26">
        <v>1.6</v>
      </c>
      <c r="D1808" s="26">
        <v>0.5</v>
      </c>
      <c r="E1808" s="75">
        <v>56</v>
      </c>
      <c r="F1808">
        <f t="shared" si="34"/>
        <v>8.9285714285714281E-3</v>
      </c>
    </row>
    <row r="1809" spans="1:6" x14ac:dyDescent="0.25">
      <c r="A1809" s="78">
        <v>5</v>
      </c>
      <c r="B1809" s="78">
        <v>9</v>
      </c>
      <c r="C1809" s="26">
        <v>1.6</v>
      </c>
      <c r="D1809" s="26">
        <v>1</v>
      </c>
      <c r="E1809" s="75">
        <v>112</v>
      </c>
      <c r="F1809">
        <f t="shared" si="34"/>
        <v>8.9285714285714281E-3</v>
      </c>
    </row>
    <row r="1810" spans="1:6" x14ac:dyDescent="0.25">
      <c r="A1810" s="78">
        <v>5</v>
      </c>
      <c r="B1810" s="78">
        <v>9</v>
      </c>
      <c r="C1810" s="26">
        <v>1.6</v>
      </c>
      <c r="D1810" s="26">
        <v>1.5</v>
      </c>
      <c r="E1810" s="75">
        <v>169</v>
      </c>
      <c r="F1810">
        <f t="shared" si="34"/>
        <v>8.8757396449704144E-3</v>
      </c>
    </row>
    <row r="1811" spans="1:6" x14ac:dyDescent="0.25">
      <c r="A1811" s="78">
        <v>5</v>
      </c>
      <c r="B1811" s="78">
        <v>9</v>
      </c>
      <c r="C1811" s="26">
        <v>1.6</v>
      </c>
      <c r="D1811" s="26">
        <v>2</v>
      </c>
      <c r="E1811" s="75">
        <v>225</v>
      </c>
      <c r="F1811">
        <f t="shared" si="34"/>
        <v>8.8888888888888889E-3</v>
      </c>
    </row>
    <row r="1812" spans="1:6" x14ac:dyDescent="0.25">
      <c r="A1812" s="78">
        <v>5</v>
      </c>
      <c r="B1812" s="78">
        <v>9</v>
      </c>
      <c r="C1812" s="26">
        <v>1.6</v>
      </c>
      <c r="D1812" s="26">
        <v>2.5</v>
      </c>
      <c r="E1812" s="75">
        <v>281</v>
      </c>
      <c r="F1812">
        <f t="shared" si="34"/>
        <v>8.8967971530249119E-3</v>
      </c>
    </row>
    <row r="1813" spans="1:6" x14ac:dyDescent="0.25">
      <c r="A1813" s="78">
        <v>5</v>
      </c>
      <c r="B1813" s="78">
        <v>9</v>
      </c>
      <c r="C1813" s="26">
        <v>1.6</v>
      </c>
      <c r="D1813" s="26">
        <v>3</v>
      </c>
      <c r="E1813" s="75">
        <v>337</v>
      </c>
      <c r="F1813">
        <f t="shared" si="34"/>
        <v>8.9020771513353119E-3</v>
      </c>
    </row>
    <row r="1814" spans="1:6" x14ac:dyDescent="0.25">
      <c r="A1814" s="78">
        <v>5</v>
      </c>
      <c r="B1814" s="78">
        <v>9</v>
      </c>
      <c r="C1814" s="26">
        <v>1.8</v>
      </c>
      <c r="D1814" s="26">
        <v>0.5</v>
      </c>
      <c r="E1814" s="75">
        <v>58</v>
      </c>
      <c r="F1814">
        <f t="shared" si="34"/>
        <v>8.6206896551724137E-3</v>
      </c>
    </row>
    <row r="1815" spans="1:6" x14ac:dyDescent="0.25">
      <c r="A1815" s="78">
        <v>5</v>
      </c>
      <c r="B1815" s="78">
        <v>9</v>
      </c>
      <c r="C1815" s="26">
        <v>1.8</v>
      </c>
      <c r="D1815" s="26">
        <v>1</v>
      </c>
      <c r="E1815" s="75">
        <v>115</v>
      </c>
      <c r="F1815">
        <f t="shared" si="34"/>
        <v>8.6956521739130436E-3</v>
      </c>
    </row>
    <row r="1816" spans="1:6" x14ac:dyDescent="0.25">
      <c r="A1816" s="78">
        <v>5</v>
      </c>
      <c r="B1816" s="78">
        <v>9</v>
      </c>
      <c r="C1816" s="26">
        <v>1.8</v>
      </c>
      <c r="D1816" s="26">
        <v>1.5</v>
      </c>
      <c r="E1816" s="75">
        <v>173</v>
      </c>
      <c r="F1816">
        <f t="shared" si="34"/>
        <v>8.670520231213872E-3</v>
      </c>
    </row>
    <row r="1817" spans="1:6" x14ac:dyDescent="0.25">
      <c r="A1817" s="78">
        <v>5</v>
      </c>
      <c r="B1817" s="78">
        <v>9</v>
      </c>
      <c r="C1817" s="26">
        <v>1.8</v>
      </c>
      <c r="D1817" s="26">
        <v>2</v>
      </c>
      <c r="E1817" s="75">
        <v>230</v>
      </c>
      <c r="F1817">
        <f t="shared" si="34"/>
        <v>8.6956521739130436E-3</v>
      </c>
    </row>
    <row r="1818" spans="1:6" x14ac:dyDescent="0.25">
      <c r="A1818" s="78">
        <v>5</v>
      </c>
      <c r="B1818" s="78">
        <v>9</v>
      </c>
      <c r="C1818" s="26">
        <v>1.8</v>
      </c>
      <c r="D1818" s="26">
        <v>2.5</v>
      </c>
      <c r="E1818" s="75">
        <v>288</v>
      </c>
      <c r="F1818">
        <f t="shared" si="34"/>
        <v>8.6805555555555559E-3</v>
      </c>
    </row>
    <row r="1819" spans="1:6" x14ac:dyDescent="0.25">
      <c r="A1819" s="78">
        <v>5</v>
      </c>
      <c r="B1819" s="78">
        <v>9</v>
      </c>
      <c r="C1819" s="26">
        <v>1.8</v>
      </c>
      <c r="D1819" s="26">
        <v>3</v>
      </c>
      <c r="E1819" s="75">
        <v>345</v>
      </c>
      <c r="F1819">
        <f t="shared" si="34"/>
        <v>8.6956521739130436E-3</v>
      </c>
    </row>
    <row r="1820" spans="1:6" x14ac:dyDescent="0.25">
      <c r="A1820" s="78">
        <v>5</v>
      </c>
      <c r="B1820" s="78">
        <v>9</v>
      </c>
      <c r="C1820" s="26">
        <v>2</v>
      </c>
      <c r="D1820" s="26">
        <v>0.5</v>
      </c>
      <c r="E1820" s="75">
        <v>59</v>
      </c>
      <c r="F1820">
        <f t="shared" si="34"/>
        <v>8.4745762711864406E-3</v>
      </c>
    </row>
    <row r="1821" spans="1:6" x14ac:dyDescent="0.25">
      <c r="A1821" s="78">
        <v>5</v>
      </c>
      <c r="B1821" s="78">
        <v>9</v>
      </c>
      <c r="C1821" s="26">
        <v>2</v>
      </c>
      <c r="D1821" s="26">
        <v>1</v>
      </c>
      <c r="E1821" s="75">
        <v>118</v>
      </c>
      <c r="F1821">
        <f t="shared" si="34"/>
        <v>8.4745762711864406E-3</v>
      </c>
    </row>
    <row r="1822" spans="1:6" x14ac:dyDescent="0.25">
      <c r="A1822" s="78">
        <v>5</v>
      </c>
      <c r="B1822" s="78">
        <v>9</v>
      </c>
      <c r="C1822" s="26">
        <v>2</v>
      </c>
      <c r="D1822" s="26">
        <v>1.5</v>
      </c>
      <c r="E1822" s="75">
        <v>177</v>
      </c>
      <c r="F1822">
        <f t="shared" si="34"/>
        <v>8.4745762711864406E-3</v>
      </c>
    </row>
    <row r="1823" spans="1:6" x14ac:dyDescent="0.25">
      <c r="A1823" s="78">
        <v>5</v>
      </c>
      <c r="B1823" s="78">
        <v>9</v>
      </c>
      <c r="C1823" s="26">
        <v>2</v>
      </c>
      <c r="D1823" s="26">
        <v>2</v>
      </c>
      <c r="E1823" s="75">
        <v>235</v>
      </c>
      <c r="F1823">
        <f t="shared" si="34"/>
        <v>8.5106382978723406E-3</v>
      </c>
    </row>
    <row r="1824" spans="1:6" x14ac:dyDescent="0.25">
      <c r="A1824" s="78">
        <v>5</v>
      </c>
      <c r="B1824" s="78">
        <v>9</v>
      </c>
      <c r="C1824" s="26">
        <v>2</v>
      </c>
      <c r="D1824" s="26">
        <v>2.5</v>
      </c>
      <c r="E1824" s="75">
        <v>294</v>
      </c>
      <c r="F1824">
        <f t="shared" si="34"/>
        <v>8.5034013605442185E-3</v>
      </c>
    </row>
    <row r="1825" spans="1:6" x14ac:dyDescent="0.25">
      <c r="A1825" s="78">
        <v>5</v>
      </c>
      <c r="B1825" s="78">
        <v>9</v>
      </c>
      <c r="C1825" s="26">
        <v>2</v>
      </c>
      <c r="D1825" s="26">
        <v>3</v>
      </c>
      <c r="E1825" s="75">
        <v>353</v>
      </c>
      <c r="F1825">
        <f t="shared" si="34"/>
        <v>8.4985835694051E-3</v>
      </c>
    </row>
    <row r="1826" spans="1:6" x14ac:dyDescent="0.25">
      <c r="A1826" s="78">
        <v>5</v>
      </c>
      <c r="B1826" s="78">
        <v>9</v>
      </c>
      <c r="C1826" s="26">
        <v>2.2000000000000002</v>
      </c>
      <c r="D1826" s="26">
        <v>0.5</v>
      </c>
      <c r="E1826" s="75">
        <v>60</v>
      </c>
      <c r="F1826">
        <f t="shared" si="34"/>
        <v>8.3333333333333332E-3</v>
      </c>
    </row>
    <row r="1827" spans="1:6" x14ac:dyDescent="0.25">
      <c r="A1827" s="78">
        <v>5</v>
      </c>
      <c r="B1827" s="78">
        <v>9</v>
      </c>
      <c r="C1827" s="26">
        <v>2.2000000000000002</v>
      </c>
      <c r="D1827" s="26">
        <v>1</v>
      </c>
      <c r="E1827" s="75">
        <v>120</v>
      </c>
      <c r="F1827">
        <f t="shared" si="34"/>
        <v>8.3333333333333332E-3</v>
      </c>
    </row>
    <row r="1828" spans="1:6" x14ac:dyDescent="0.25">
      <c r="A1828" s="78">
        <v>5</v>
      </c>
      <c r="B1828" s="78">
        <v>9</v>
      </c>
      <c r="C1828" s="26">
        <v>2.2000000000000002</v>
      </c>
      <c r="D1828" s="26">
        <v>1.5</v>
      </c>
      <c r="E1828" s="75">
        <v>181</v>
      </c>
      <c r="F1828">
        <f t="shared" si="34"/>
        <v>8.2872928176795577E-3</v>
      </c>
    </row>
    <row r="1829" spans="1:6" x14ac:dyDescent="0.25">
      <c r="A1829" s="78">
        <v>5</v>
      </c>
      <c r="B1829" s="78">
        <v>9</v>
      </c>
      <c r="C1829" s="26">
        <v>2.2000000000000002</v>
      </c>
      <c r="D1829" s="26">
        <v>2</v>
      </c>
      <c r="E1829" s="75">
        <v>241</v>
      </c>
      <c r="F1829">
        <f t="shared" si="34"/>
        <v>8.2987551867219917E-3</v>
      </c>
    </row>
    <row r="1830" spans="1:6" x14ac:dyDescent="0.25">
      <c r="A1830" s="78">
        <v>5</v>
      </c>
      <c r="B1830" s="78">
        <v>9</v>
      </c>
      <c r="C1830" s="26">
        <v>2.2000000000000002</v>
      </c>
      <c r="D1830" s="26">
        <v>2.5</v>
      </c>
      <c r="E1830" s="75">
        <v>301</v>
      </c>
      <c r="F1830">
        <f t="shared" si="34"/>
        <v>8.3056478405315621E-3</v>
      </c>
    </row>
    <row r="1831" spans="1:6" x14ac:dyDescent="0.25">
      <c r="A1831" s="78">
        <v>5</v>
      </c>
      <c r="B1831" s="78">
        <v>9</v>
      </c>
      <c r="C1831" s="26">
        <v>2.2000000000000002</v>
      </c>
      <c r="D1831" s="26">
        <v>3</v>
      </c>
      <c r="E1831" s="75">
        <v>361</v>
      </c>
      <c r="F1831">
        <f t="shared" si="34"/>
        <v>8.3102493074792248E-3</v>
      </c>
    </row>
    <row r="1832" spans="1:6" x14ac:dyDescent="0.25">
      <c r="A1832" s="78">
        <v>5</v>
      </c>
      <c r="B1832" s="78">
        <v>9</v>
      </c>
      <c r="C1832" s="26">
        <v>2.4</v>
      </c>
      <c r="D1832" s="26">
        <v>0.5</v>
      </c>
      <c r="E1832" s="75">
        <v>61</v>
      </c>
      <c r="F1832">
        <f t="shared" si="34"/>
        <v>8.1967213114754103E-3</v>
      </c>
    </row>
    <row r="1833" spans="1:6" x14ac:dyDescent="0.25">
      <c r="A1833" s="78">
        <v>5</v>
      </c>
      <c r="B1833" s="78">
        <v>9</v>
      </c>
      <c r="C1833" s="26">
        <v>2.4</v>
      </c>
      <c r="D1833" s="26">
        <v>1</v>
      </c>
      <c r="E1833" s="75">
        <v>123</v>
      </c>
      <c r="F1833">
        <f t="shared" si="34"/>
        <v>8.130081300813009E-3</v>
      </c>
    </row>
    <row r="1834" spans="1:6" x14ac:dyDescent="0.25">
      <c r="A1834" s="78">
        <v>5</v>
      </c>
      <c r="B1834" s="78">
        <v>9</v>
      </c>
      <c r="C1834" s="26">
        <v>2.4</v>
      </c>
      <c r="D1834" s="26">
        <v>1.5</v>
      </c>
      <c r="E1834" s="75">
        <v>184</v>
      </c>
      <c r="F1834">
        <f t="shared" si="34"/>
        <v>8.152173913043478E-3</v>
      </c>
    </row>
    <row r="1835" spans="1:6" x14ac:dyDescent="0.25">
      <c r="A1835" s="78">
        <v>5</v>
      </c>
      <c r="B1835" s="78">
        <v>9</v>
      </c>
      <c r="C1835" s="26">
        <v>2.4</v>
      </c>
      <c r="D1835" s="26">
        <v>2</v>
      </c>
      <c r="E1835" s="75">
        <v>245</v>
      </c>
      <c r="F1835">
        <f t="shared" si="34"/>
        <v>8.1632653061224497E-3</v>
      </c>
    </row>
    <row r="1836" spans="1:6" x14ac:dyDescent="0.25">
      <c r="A1836" s="78">
        <v>5</v>
      </c>
      <c r="B1836" s="78">
        <v>9</v>
      </c>
      <c r="C1836" s="26">
        <v>2.4</v>
      </c>
      <c r="D1836" s="26">
        <v>2.5</v>
      </c>
      <c r="E1836" s="75">
        <v>307</v>
      </c>
      <c r="F1836">
        <f t="shared" ref="F1836:F1855" si="35">D1836/E1836</f>
        <v>8.1433224755700327E-3</v>
      </c>
    </row>
    <row r="1837" spans="1:6" x14ac:dyDescent="0.25">
      <c r="A1837" s="78">
        <v>5</v>
      </c>
      <c r="B1837" s="78">
        <v>9</v>
      </c>
      <c r="C1837" s="26">
        <v>2.4</v>
      </c>
      <c r="D1837" s="26">
        <v>3</v>
      </c>
      <c r="E1837" s="75">
        <v>368</v>
      </c>
      <c r="F1837">
        <f t="shared" si="35"/>
        <v>8.152173913043478E-3</v>
      </c>
    </row>
    <row r="1838" spans="1:6" x14ac:dyDescent="0.25">
      <c r="A1838" s="78">
        <v>5</v>
      </c>
      <c r="B1838" s="78">
        <v>9</v>
      </c>
      <c r="C1838" s="26">
        <v>2.6</v>
      </c>
      <c r="D1838" s="26">
        <v>0.5</v>
      </c>
      <c r="E1838" s="75">
        <v>63</v>
      </c>
      <c r="F1838">
        <f t="shared" si="35"/>
        <v>7.9365079365079361E-3</v>
      </c>
    </row>
    <row r="1839" spans="1:6" x14ac:dyDescent="0.25">
      <c r="A1839" s="78">
        <v>5</v>
      </c>
      <c r="B1839" s="78">
        <v>9</v>
      </c>
      <c r="C1839" s="26">
        <v>2.6</v>
      </c>
      <c r="D1839" s="26">
        <v>1</v>
      </c>
      <c r="E1839" s="75">
        <v>125</v>
      </c>
      <c r="F1839">
        <f t="shared" si="35"/>
        <v>8.0000000000000002E-3</v>
      </c>
    </row>
    <row r="1840" spans="1:6" x14ac:dyDescent="0.25">
      <c r="A1840" s="78">
        <v>5</v>
      </c>
      <c r="B1840" s="78">
        <v>9</v>
      </c>
      <c r="C1840" s="26">
        <v>2.6</v>
      </c>
      <c r="D1840" s="26">
        <v>1.5</v>
      </c>
      <c r="E1840" s="75">
        <v>188</v>
      </c>
      <c r="F1840">
        <f t="shared" si="35"/>
        <v>7.9787234042553185E-3</v>
      </c>
    </row>
    <row r="1841" spans="1:6" x14ac:dyDescent="0.25">
      <c r="A1841" s="78">
        <v>5</v>
      </c>
      <c r="B1841" s="78">
        <v>9</v>
      </c>
      <c r="C1841" s="26">
        <v>2.6</v>
      </c>
      <c r="D1841" s="26">
        <v>2</v>
      </c>
      <c r="E1841" s="75">
        <v>250</v>
      </c>
      <c r="F1841">
        <f t="shared" si="35"/>
        <v>8.0000000000000002E-3</v>
      </c>
    </row>
    <row r="1842" spans="1:6" x14ac:dyDescent="0.25">
      <c r="A1842" s="78">
        <v>5</v>
      </c>
      <c r="B1842" s="78">
        <v>9</v>
      </c>
      <c r="C1842" s="26">
        <v>2.6</v>
      </c>
      <c r="D1842" s="26">
        <v>2.5</v>
      </c>
      <c r="E1842" s="75">
        <v>313</v>
      </c>
      <c r="F1842">
        <f t="shared" si="35"/>
        <v>7.9872204472843447E-3</v>
      </c>
    </row>
    <row r="1843" spans="1:6" x14ac:dyDescent="0.25">
      <c r="A1843" s="78">
        <v>5</v>
      </c>
      <c r="B1843" s="78">
        <v>9</v>
      </c>
      <c r="C1843" s="26">
        <v>2.6</v>
      </c>
      <c r="D1843" s="26">
        <v>3</v>
      </c>
      <c r="E1843" s="75">
        <v>375</v>
      </c>
      <c r="F1843">
        <f t="shared" si="35"/>
        <v>8.0000000000000002E-3</v>
      </c>
    </row>
    <row r="1844" spans="1:6" x14ac:dyDescent="0.25">
      <c r="A1844" s="78">
        <v>5</v>
      </c>
      <c r="B1844" s="78">
        <v>9</v>
      </c>
      <c r="C1844" s="26">
        <v>2.8</v>
      </c>
      <c r="D1844" s="26">
        <v>0.5</v>
      </c>
      <c r="E1844" s="75">
        <v>64</v>
      </c>
      <c r="F1844">
        <f t="shared" si="35"/>
        <v>7.8125E-3</v>
      </c>
    </row>
    <row r="1845" spans="1:6" x14ac:dyDescent="0.25">
      <c r="A1845" s="78">
        <v>5</v>
      </c>
      <c r="B1845" s="78">
        <v>9</v>
      </c>
      <c r="C1845" s="26">
        <v>2.8</v>
      </c>
      <c r="D1845" s="26">
        <v>1</v>
      </c>
      <c r="E1845" s="75">
        <v>127</v>
      </c>
      <c r="F1845">
        <f t="shared" si="35"/>
        <v>7.874015748031496E-3</v>
      </c>
    </row>
    <row r="1846" spans="1:6" x14ac:dyDescent="0.25">
      <c r="A1846" s="78">
        <v>5</v>
      </c>
      <c r="B1846" s="78">
        <v>9</v>
      </c>
      <c r="C1846" s="26">
        <v>2.8</v>
      </c>
      <c r="D1846" s="26">
        <v>1.5</v>
      </c>
      <c r="E1846" s="75">
        <v>191</v>
      </c>
      <c r="F1846">
        <f t="shared" si="35"/>
        <v>7.8534031413612562E-3</v>
      </c>
    </row>
    <row r="1847" spans="1:6" x14ac:dyDescent="0.25">
      <c r="A1847" s="78">
        <v>5</v>
      </c>
      <c r="B1847" s="78">
        <v>9</v>
      </c>
      <c r="C1847" s="26">
        <v>2.8</v>
      </c>
      <c r="D1847" s="26">
        <v>2</v>
      </c>
      <c r="E1847" s="75">
        <v>255</v>
      </c>
      <c r="F1847">
        <f t="shared" si="35"/>
        <v>7.8431372549019607E-3</v>
      </c>
    </row>
    <row r="1848" spans="1:6" x14ac:dyDescent="0.25">
      <c r="A1848" s="78">
        <v>5</v>
      </c>
      <c r="B1848" s="78">
        <v>9</v>
      </c>
      <c r="C1848" s="26">
        <v>2.8</v>
      </c>
      <c r="D1848" s="26">
        <v>2.5</v>
      </c>
      <c r="E1848" s="75">
        <v>318</v>
      </c>
      <c r="F1848">
        <f t="shared" si="35"/>
        <v>7.8616352201257862E-3</v>
      </c>
    </row>
    <row r="1849" spans="1:6" x14ac:dyDescent="0.25">
      <c r="A1849" s="78">
        <v>5</v>
      </c>
      <c r="B1849" s="78">
        <v>9</v>
      </c>
      <c r="C1849" s="26">
        <v>2.8</v>
      </c>
      <c r="D1849" s="26">
        <v>3</v>
      </c>
      <c r="E1849" s="75">
        <v>382</v>
      </c>
      <c r="F1849">
        <f t="shared" si="35"/>
        <v>7.8534031413612562E-3</v>
      </c>
    </row>
    <row r="1850" spans="1:6" x14ac:dyDescent="0.25">
      <c r="A1850" s="78">
        <v>5</v>
      </c>
      <c r="B1850" s="78">
        <v>9</v>
      </c>
      <c r="C1850" s="26">
        <v>3</v>
      </c>
      <c r="D1850" s="26">
        <v>0.5</v>
      </c>
      <c r="E1850" s="75">
        <v>65</v>
      </c>
      <c r="F1850">
        <f t="shared" si="35"/>
        <v>7.6923076923076927E-3</v>
      </c>
    </row>
    <row r="1851" spans="1:6" x14ac:dyDescent="0.25">
      <c r="A1851" s="78">
        <v>5</v>
      </c>
      <c r="B1851" s="78">
        <v>9</v>
      </c>
      <c r="C1851" s="26">
        <v>3</v>
      </c>
      <c r="D1851" s="26">
        <v>1</v>
      </c>
      <c r="E1851" s="75">
        <v>130</v>
      </c>
      <c r="F1851">
        <f t="shared" si="35"/>
        <v>7.6923076923076927E-3</v>
      </c>
    </row>
    <row r="1852" spans="1:6" x14ac:dyDescent="0.25">
      <c r="A1852" s="78">
        <v>5</v>
      </c>
      <c r="B1852" s="78">
        <v>9</v>
      </c>
      <c r="C1852" s="26">
        <v>3</v>
      </c>
      <c r="D1852" s="26">
        <v>1.5</v>
      </c>
      <c r="E1852" s="75">
        <v>195</v>
      </c>
      <c r="F1852">
        <f t="shared" si="35"/>
        <v>7.6923076923076927E-3</v>
      </c>
    </row>
    <row r="1853" spans="1:6" x14ac:dyDescent="0.25">
      <c r="A1853" s="78">
        <v>5</v>
      </c>
      <c r="B1853" s="78">
        <v>9</v>
      </c>
      <c r="C1853" s="26">
        <v>3</v>
      </c>
      <c r="D1853" s="26">
        <v>2</v>
      </c>
      <c r="E1853" s="75">
        <v>259</v>
      </c>
      <c r="F1853">
        <f t="shared" si="35"/>
        <v>7.7220077220077222E-3</v>
      </c>
    </row>
    <row r="1854" spans="1:6" x14ac:dyDescent="0.25">
      <c r="A1854" s="78">
        <v>5</v>
      </c>
      <c r="B1854" s="78">
        <v>9</v>
      </c>
      <c r="C1854" s="26">
        <v>3</v>
      </c>
      <c r="D1854" s="26">
        <v>2.5</v>
      </c>
      <c r="E1854" s="75">
        <v>324</v>
      </c>
      <c r="F1854">
        <f t="shared" si="35"/>
        <v>7.716049382716049E-3</v>
      </c>
    </row>
    <row r="1855" spans="1:6" x14ac:dyDescent="0.25">
      <c r="A1855" s="78">
        <v>5</v>
      </c>
      <c r="B1855" s="78">
        <v>9</v>
      </c>
      <c r="C1855" s="73">
        <v>3</v>
      </c>
      <c r="D1855" s="73">
        <v>3</v>
      </c>
      <c r="E1855" s="75">
        <v>389</v>
      </c>
      <c r="F1855">
        <f t="shared" si="35"/>
        <v>7.7120822622107968E-3</v>
      </c>
    </row>
    <row r="1857" spans="1:6" x14ac:dyDescent="0.25">
      <c r="A1857">
        <v>10</v>
      </c>
      <c r="B1857">
        <v>9</v>
      </c>
      <c r="C1857" s="26">
        <v>0.4</v>
      </c>
      <c r="D1857" s="26">
        <v>0.5</v>
      </c>
      <c r="E1857" s="78">
        <v>35</v>
      </c>
      <c r="F1857">
        <f t="shared" ref="F1857:F1920" si="36">D1857/E1857</f>
        <v>1.4285714285714285E-2</v>
      </c>
    </row>
    <row r="1858" spans="1:6" x14ac:dyDescent="0.25">
      <c r="A1858">
        <v>10</v>
      </c>
      <c r="B1858">
        <v>9</v>
      </c>
      <c r="C1858" s="26">
        <v>0.4</v>
      </c>
      <c r="D1858" s="26">
        <v>1</v>
      </c>
      <c r="E1858" s="78">
        <v>70</v>
      </c>
      <c r="F1858">
        <f t="shared" si="36"/>
        <v>1.4285714285714285E-2</v>
      </c>
    </row>
    <row r="1859" spans="1:6" x14ac:dyDescent="0.25">
      <c r="A1859">
        <v>10</v>
      </c>
      <c r="B1859">
        <v>9</v>
      </c>
      <c r="C1859" s="26">
        <v>0.4</v>
      </c>
      <c r="D1859" s="26">
        <v>1.5</v>
      </c>
      <c r="E1859" s="78">
        <v>105</v>
      </c>
      <c r="F1859">
        <f t="shared" si="36"/>
        <v>1.4285714285714285E-2</v>
      </c>
    </row>
    <row r="1860" spans="1:6" x14ac:dyDescent="0.25">
      <c r="A1860">
        <v>10</v>
      </c>
      <c r="B1860">
        <v>9</v>
      </c>
      <c r="C1860" s="26">
        <v>0.4</v>
      </c>
      <c r="D1860" s="26">
        <v>2</v>
      </c>
      <c r="E1860" s="78">
        <v>139</v>
      </c>
      <c r="F1860">
        <f t="shared" si="36"/>
        <v>1.4388489208633094E-2</v>
      </c>
    </row>
    <row r="1861" spans="1:6" x14ac:dyDescent="0.25">
      <c r="A1861">
        <v>10</v>
      </c>
      <c r="B1861">
        <v>9</v>
      </c>
      <c r="C1861" s="26">
        <v>0.4</v>
      </c>
      <c r="D1861" s="26">
        <v>2.5</v>
      </c>
      <c r="E1861" s="78">
        <v>174</v>
      </c>
      <c r="F1861">
        <f t="shared" si="36"/>
        <v>1.4367816091954023E-2</v>
      </c>
    </row>
    <row r="1862" spans="1:6" x14ac:dyDescent="0.25">
      <c r="A1862">
        <v>10</v>
      </c>
      <c r="B1862">
        <v>9</v>
      </c>
      <c r="C1862" s="26">
        <v>0.4</v>
      </c>
      <c r="D1862" s="26">
        <v>3</v>
      </c>
      <c r="E1862" s="78">
        <v>209</v>
      </c>
      <c r="F1862">
        <f t="shared" si="36"/>
        <v>1.4354066985645933E-2</v>
      </c>
    </row>
    <row r="1863" spans="1:6" x14ac:dyDescent="0.25">
      <c r="A1863">
        <v>10</v>
      </c>
      <c r="B1863">
        <v>9</v>
      </c>
      <c r="C1863" s="26">
        <v>0.6</v>
      </c>
      <c r="D1863" s="26">
        <v>0.5</v>
      </c>
      <c r="E1863" s="78">
        <v>36</v>
      </c>
      <c r="F1863">
        <f t="shared" si="36"/>
        <v>1.3888888888888888E-2</v>
      </c>
    </row>
    <row r="1864" spans="1:6" x14ac:dyDescent="0.25">
      <c r="A1864">
        <v>10</v>
      </c>
      <c r="B1864">
        <v>9</v>
      </c>
      <c r="C1864" s="26">
        <v>0.6</v>
      </c>
      <c r="D1864" s="26">
        <v>1</v>
      </c>
      <c r="E1864" s="78">
        <v>73</v>
      </c>
      <c r="F1864">
        <f t="shared" si="36"/>
        <v>1.3698630136986301E-2</v>
      </c>
    </row>
    <row r="1865" spans="1:6" x14ac:dyDescent="0.25">
      <c r="A1865">
        <v>10</v>
      </c>
      <c r="B1865">
        <v>9</v>
      </c>
      <c r="C1865" s="26">
        <v>0.6</v>
      </c>
      <c r="D1865" s="26">
        <v>1.5</v>
      </c>
      <c r="E1865" s="78">
        <v>109</v>
      </c>
      <c r="F1865">
        <f t="shared" si="36"/>
        <v>1.3761467889908258E-2</v>
      </c>
    </row>
    <row r="1866" spans="1:6" x14ac:dyDescent="0.25">
      <c r="A1866">
        <v>10</v>
      </c>
      <c r="B1866">
        <v>9</v>
      </c>
      <c r="C1866" s="26">
        <v>0.6</v>
      </c>
      <c r="D1866" s="26">
        <v>2</v>
      </c>
      <c r="E1866" s="78">
        <v>145</v>
      </c>
      <c r="F1866">
        <f t="shared" si="36"/>
        <v>1.3793103448275862E-2</v>
      </c>
    </row>
    <row r="1867" spans="1:6" x14ac:dyDescent="0.25">
      <c r="A1867">
        <v>10</v>
      </c>
      <c r="B1867">
        <v>9</v>
      </c>
      <c r="C1867" s="26">
        <v>0.6</v>
      </c>
      <c r="D1867" s="26">
        <v>2.5</v>
      </c>
      <c r="E1867" s="78">
        <v>182</v>
      </c>
      <c r="F1867">
        <f t="shared" si="36"/>
        <v>1.3736263736263736E-2</v>
      </c>
    </row>
    <row r="1868" spans="1:6" x14ac:dyDescent="0.25">
      <c r="A1868">
        <v>10</v>
      </c>
      <c r="B1868">
        <v>9</v>
      </c>
      <c r="C1868" s="26">
        <v>0.6</v>
      </c>
      <c r="D1868" s="26">
        <v>3</v>
      </c>
      <c r="E1868" s="78">
        <v>218</v>
      </c>
      <c r="F1868">
        <f t="shared" si="36"/>
        <v>1.3761467889908258E-2</v>
      </c>
    </row>
    <row r="1869" spans="1:6" x14ac:dyDescent="0.25">
      <c r="A1869">
        <v>10</v>
      </c>
      <c r="B1869">
        <v>9</v>
      </c>
      <c r="C1869" s="26">
        <v>0.8</v>
      </c>
      <c r="D1869" s="26">
        <v>0.5</v>
      </c>
      <c r="E1869" s="78">
        <v>38</v>
      </c>
      <c r="F1869">
        <f t="shared" si="36"/>
        <v>1.3157894736842105E-2</v>
      </c>
    </row>
    <row r="1870" spans="1:6" x14ac:dyDescent="0.25">
      <c r="A1870">
        <v>10</v>
      </c>
      <c r="B1870">
        <v>9</v>
      </c>
      <c r="C1870" s="26">
        <v>0.8</v>
      </c>
      <c r="D1870" s="26">
        <v>1</v>
      </c>
      <c r="E1870" s="78">
        <v>75</v>
      </c>
      <c r="F1870">
        <f t="shared" si="36"/>
        <v>1.3333333333333334E-2</v>
      </c>
    </row>
    <row r="1871" spans="1:6" x14ac:dyDescent="0.25">
      <c r="A1871">
        <v>10</v>
      </c>
      <c r="B1871">
        <v>9</v>
      </c>
      <c r="C1871" s="26">
        <v>0.8</v>
      </c>
      <c r="D1871" s="26">
        <v>1.5</v>
      </c>
      <c r="E1871" s="78">
        <v>113</v>
      </c>
      <c r="F1871">
        <f t="shared" si="36"/>
        <v>1.3274336283185841E-2</v>
      </c>
    </row>
    <row r="1872" spans="1:6" x14ac:dyDescent="0.25">
      <c r="A1872">
        <v>10</v>
      </c>
      <c r="B1872">
        <v>9</v>
      </c>
      <c r="C1872" s="26">
        <v>0.8</v>
      </c>
      <c r="D1872" s="26">
        <v>2</v>
      </c>
      <c r="E1872" s="78">
        <v>151</v>
      </c>
      <c r="F1872">
        <f t="shared" si="36"/>
        <v>1.3245033112582781E-2</v>
      </c>
    </row>
    <row r="1873" spans="1:6" x14ac:dyDescent="0.25">
      <c r="A1873">
        <v>10</v>
      </c>
      <c r="B1873">
        <v>9</v>
      </c>
      <c r="C1873" s="26">
        <v>0.8</v>
      </c>
      <c r="D1873" s="26">
        <v>2.5</v>
      </c>
      <c r="E1873" s="78">
        <v>188</v>
      </c>
      <c r="F1873">
        <f t="shared" si="36"/>
        <v>1.3297872340425532E-2</v>
      </c>
    </row>
    <row r="1874" spans="1:6" x14ac:dyDescent="0.25">
      <c r="A1874">
        <v>10</v>
      </c>
      <c r="B1874">
        <v>9</v>
      </c>
      <c r="C1874" s="26">
        <v>0.8</v>
      </c>
      <c r="D1874" s="26">
        <v>3</v>
      </c>
      <c r="E1874" s="78">
        <v>226</v>
      </c>
      <c r="F1874">
        <f t="shared" si="36"/>
        <v>1.3274336283185841E-2</v>
      </c>
    </row>
    <row r="1875" spans="1:6" x14ac:dyDescent="0.25">
      <c r="A1875">
        <v>10</v>
      </c>
      <c r="B1875">
        <v>9</v>
      </c>
      <c r="C1875" s="26">
        <v>1</v>
      </c>
      <c r="D1875" s="26">
        <v>0.5</v>
      </c>
      <c r="E1875" s="78">
        <v>39</v>
      </c>
      <c r="F1875">
        <f t="shared" si="36"/>
        <v>1.282051282051282E-2</v>
      </c>
    </row>
    <row r="1876" spans="1:6" x14ac:dyDescent="0.25">
      <c r="A1876">
        <v>10</v>
      </c>
      <c r="B1876">
        <v>9</v>
      </c>
      <c r="C1876" s="26">
        <v>1</v>
      </c>
      <c r="D1876" s="26">
        <v>1</v>
      </c>
      <c r="E1876" s="78">
        <v>78</v>
      </c>
      <c r="F1876">
        <f t="shared" si="36"/>
        <v>1.282051282051282E-2</v>
      </c>
    </row>
    <row r="1877" spans="1:6" x14ac:dyDescent="0.25">
      <c r="A1877">
        <v>10</v>
      </c>
      <c r="B1877">
        <v>9</v>
      </c>
      <c r="C1877" s="26">
        <v>1</v>
      </c>
      <c r="D1877" s="26">
        <v>1.5</v>
      </c>
      <c r="E1877" s="78">
        <v>117</v>
      </c>
      <c r="F1877">
        <f t="shared" si="36"/>
        <v>1.282051282051282E-2</v>
      </c>
    </row>
    <row r="1878" spans="1:6" x14ac:dyDescent="0.25">
      <c r="A1878">
        <v>10</v>
      </c>
      <c r="B1878">
        <v>9</v>
      </c>
      <c r="C1878" s="26">
        <v>1</v>
      </c>
      <c r="D1878" s="26">
        <v>2</v>
      </c>
      <c r="E1878" s="78">
        <v>156</v>
      </c>
      <c r="F1878">
        <f t="shared" si="36"/>
        <v>1.282051282051282E-2</v>
      </c>
    </row>
    <row r="1879" spans="1:6" x14ac:dyDescent="0.25">
      <c r="A1879">
        <v>10</v>
      </c>
      <c r="B1879">
        <v>9</v>
      </c>
      <c r="C1879" s="26">
        <v>1</v>
      </c>
      <c r="D1879" s="26">
        <v>2.5</v>
      </c>
      <c r="E1879" s="78">
        <v>195</v>
      </c>
      <c r="F1879">
        <f t="shared" si="36"/>
        <v>1.282051282051282E-2</v>
      </c>
    </row>
    <row r="1880" spans="1:6" x14ac:dyDescent="0.25">
      <c r="A1880">
        <v>10</v>
      </c>
      <c r="B1880">
        <v>9</v>
      </c>
      <c r="C1880" s="26">
        <v>1</v>
      </c>
      <c r="D1880" s="26">
        <v>3</v>
      </c>
      <c r="E1880" s="78">
        <v>234</v>
      </c>
      <c r="F1880">
        <f t="shared" si="36"/>
        <v>1.282051282051282E-2</v>
      </c>
    </row>
    <row r="1881" spans="1:6" x14ac:dyDescent="0.25">
      <c r="A1881">
        <v>10</v>
      </c>
      <c r="B1881">
        <v>9</v>
      </c>
      <c r="C1881" s="26">
        <v>1.2</v>
      </c>
      <c r="D1881" s="26">
        <v>0.5</v>
      </c>
      <c r="E1881" s="78">
        <v>40</v>
      </c>
      <c r="F1881">
        <f t="shared" si="36"/>
        <v>1.2500000000000001E-2</v>
      </c>
    </row>
    <row r="1882" spans="1:6" x14ac:dyDescent="0.25">
      <c r="A1882">
        <v>10</v>
      </c>
      <c r="B1882">
        <v>9</v>
      </c>
      <c r="C1882" s="26">
        <v>1.2</v>
      </c>
      <c r="D1882" s="26">
        <v>1</v>
      </c>
      <c r="E1882" s="78">
        <v>80</v>
      </c>
      <c r="F1882">
        <f t="shared" si="36"/>
        <v>1.2500000000000001E-2</v>
      </c>
    </row>
    <row r="1883" spans="1:6" x14ac:dyDescent="0.25">
      <c r="A1883">
        <v>10</v>
      </c>
      <c r="B1883">
        <v>9</v>
      </c>
      <c r="C1883" s="26">
        <v>1.2</v>
      </c>
      <c r="D1883" s="26">
        <v>1.5</v>
      </c>
      <c r="E1883" s="78">
        <v>120</v>
      </c>
      <c r="F1883">
        <f t="shared" si="36"/>
        <v>1.2500000000000001E-2</v>
      </c>
    </row>
    <row r="1884" spans="1:6" x14ac:dyDescent="0.25">
      <c r="A1884">
        <v>10</v>
      </c>
      <c r="B1884">
        <v>9</v>
      </c>
      <c r="C1884" s="26">
        <v>1.2</v>
      </c>
      <c r="D1884" s="26">
        <v>2</v>
      </c>
      <c r="E1884" s="78">
        <v>160</v>
      </c>
      <c r="F1884">
        <f t="shared" si="36"/>
        <v>1.2500000000000001E-2</v>
      </c>
    </row>
    <row r="1885" spans="1:6" x14ac:dyDescent="0.25">
      <c r="A1885">
        <v>10</v>
      </c>
      <c r="B1885">
        <v>9</v>
      </c>
      <c r="C1885" s="26">
        <v>1.2</v>
      </c>
      <c r="D1885" s="26">
        <v>2.5</v>
      </c>
      <c r="E1885" s="78">
        <v>200</v>
      </c>
      <c r="F1885">
        <f t="shared" si="36"/>
        <v>1.2500000000000001E-2</v>
      </c>
    </row>
    <row r="1886" spans="1:6" x14ac:dyDescent="0.25">
      <c r="A1886">
        <v>10</v>
      </c>
      <c r="B1886">
        <v>9</v>
      </c>
      <c r="C1886" s="26">
        <v>1.2</v>
      </c>
      <c r="D1886" s="26">
        <v>3</v>
      </c>
      <c r="E1886" s="78">
        <v>240</v>
      </c>
      <c r="F1886">
        <f t="shared" si="36"/>
        <v>1.2500000000000001E-2</v>
      </c>
    </row>
    <row r="1887" spans="1:6" x14ac:dyDescent="0.25">
      <c r="A1887">
        <v>10</v>
      </c>
      <c r="B1887">
        <v>9</v>
      </c>
      <c r="C1887" s="26">
        <v>1.4</v>
      </c>
      <c r="D1887" s="26">
        <v>0.5</v>
      </c>
      <c r="E1887" s="78">
        <v>41</v>
      </c>
      <c r="F1887">
        <f t="shared" si="36"/>
        <v>1.2195121951219513E-2</v>
      </c>
    </row>
    <row r="1888" spans="1:6" x14ac:dyDescent="0.25">
      <c r="A1888">
        <v>10</v>
      </c>
      <c r="B1888">
        <v>9</v>
      </c>
      <c r="C1888" s="26">
        <v>1.4</v>
      </c>
      <c r="D1888" s="26">
        <v>1</v>
      </c>
      <c r="E1888" s="78">
        <v>82</v>
      </c>
      <c r="F1888">
        <f t="shared" si="36"/>
        <v>1.2195121951219513E-2</v>
      </c>
    </row>
    <row r="1889" spans="1:6" x14ac:dyDescent="0.25">
      <c r="A1889">
        <v>10</v>
      </c>
      <c r="B1889">
        <v>9</v>
      </c>
      <c r="C1889" s="26">
        <v>1.4</v>
      </c>
      <c r="D1889" s="26">
        <v>1.5</v>
      </c>
      <c r="E1889" s="78">
        <v>124</v>
      </c>
      <c r="F1889">
        <f t="shared" si="36"/>
        <v>1.2096774193548387E-2</v>
      </c>
    </row>
    <row r="1890" spans="1:6" x14ac:dyDescent="0.25">
      <c r="A1890">
        <v>10</v>
      </c>
      <c r="B1890">
        <v>9</v>
      </c>
      <c r="C1890" s="26">
        <v>1.4</v>
      </c>
      <c r="D1890" s="26">
        <v>2</v>
      </c>
      <c r="E1890" s="78">
        <v>165</v>
      </c>
      <c r="F1890">
        <f t="shared" si="36"/>
        <v>1.2121212121212121E-2</v>
      </c>
    </row>
    <row r="1891" spans="1:6" x14ac:dyDescent="0.25">
      <c r="A1891">
        <v>10</v>
      </c>
      <c r="B1891">
        <v>9</v>
      </c>
      <c r="C1891" s="26">
        <v>1.4</v>
      </c>
      <c r="D1891" s="26">
        <v>2.5</v>
      </c>
      <c r="E1891" s="78">
        <v>206</v>
      </c>
      <c r="F1891">
        <f t="shared" si="36"/>
        <v>1.2135922330097087E-2</v>
      </c>
    </row>
    <row r="1892" spans="1:6" x14ac:dyDescent="0.25">
      <c r="A1892">
        <v>10</v>
      </c>
      <c r="B1892">
        <v>9</v>
      </c>
      <c r="C1892" s="26">
        <v>1.4</v>
      </c>
      <c r="D1892" s="26">
        <v>3</v>
      </c>
      <c r="E1892" s="78">
        <v>247</v>
      </c>
      <c r="F1892">
        <f t="shared" si="36"/>
        <v>1.2145748987854251E-2</v>
      </c>
    </row>
    <row r="1893" spans="1:6" x14ac:dyDescent="0.25">
      <c r="A1893">
        <v>10</v>
      </c>
      <c r="B1893">
        <v>9</v>
      </c>
      <c r="C1893" s="26">
        <v>1.6</v>
      </c>
      <c r="D1893" s="26">
        <v>0.5</v>
      </c>
      <c r="E1893" s="78">
        <v>42</v>
      </c>
      <c r="F1893">
        <f t="shared" si="36"/>
        <v>1.1904761904761904E-2</v>
      </c>
    </row>
    <row r="1894" spans="1:6" x14ac:dyDescent="0.25">
      <c r="A1894">
        <v>10</v>
      </c>
      <c r="B1894">
        <v>9</v>
      </c>
      <c r="C1894" s="26">
        <v>1.6</v>
      </c>
      <c r="D1894" s="26">
        <v>1</v>
      </c>
      <c r="E1894" s="78">
        <v>84</v>
      </c>
      <c r="F1894">
        <f t="shared" si="36"/>
        <v>1.1904761904761904E-2</v>
      </c>
    </row>
    <row r="1895" spans="1:6" x14ac:dyDescent="0.25">
      <c r="A1895">
        <v>10</v>
      </c>
      <c r="B1895">
        <v>9</v>
      </c>
      <c r="C1895" s="26">
        <v>1.6</v>
      </c>
      <c r="D1895" s="26">
        <v>1.5</v>
      </c>
      <c r="E1895" s="78">
        <v>127</v>
      </c>
      <c r="F1895">
        <f t="shared" si="36"/>
        <v>1.1811023622047244E-2</v>
      </c>
    </row>
    <row r="1896" spans="1:6" x14ac:dyDescent="0.25">
      <c r="A1896">
        <v>10</v>
      </c>
      <c r="B1896">
        <v>9</v>
      </c>
      <c r="C1896" s="26">
        <v>1.6</v>
      </c>
      <c r="D1896" s="26">
        <v>2</v>
      </c>
      <c r="E1896" s="78">
        <v>169</v>
      </c>
      <c r="F1896">
        <f t="shared" si="36"/>
        <v>1.1834319526627219E-2</v>
      </c>
    </row>
    <row r="1897" spans="1:6" x14ac:dyDescent="0.25">
      <c r="A1897">
        <v>10</v>
      </c>
      <c r="B1897">
        <v>9</v>
      </c>
      <c r="C1897" s="26">
        <v>1.6</v>
      </c>
      <c r="D1897" s="26">
        <v>2.5</v>
      </c>
      <c r="E1897" s="78">
        <v>211</v>
      </c>
      <c r="F1897">
        <f t="shared" si="36"/>
        <v>1.1848341232227487E-2</v>
      </c>
    </row>
    <row r="1898" spans="1:6" x14ac:dyDescent="0.25">
      <c r="A1898">
        <v>10</v>
      </c>
      <c r="B1898">
        <v>9</v>
      </c>
      <c r="C1898" s="26">
        <v>1.6</v>
      </c>
      <c r="D1898" s="26">
        <v>3</v>
      </c>
      <c r="E1898" s="78">
        <v>253</v>
      </c>
      <c r="F1898">
        <f t="shared" si="36"/>
        <v>1.1857707509881422E-2</v>
      </c>
    </row>
    <row r="1899" spans="1:6" x14ac:dyDescent="0.25">
      <c r="A1899">
        <v>10</v>
      </c>
      <c r="B1899">
        <v>9</v>
      </c>
      <c r="C1899" s="26">
        <v>1.8</v>
      </c>
      <c r="D1899" s="26">
        <v>0.5</v>
      </c>
      <c r="E1899" s="78">
        <v>43</v>
      </c>
      <c r="F1899">
        <f t="shared" si="36"/>
        <v>1.1627906976744186E-2</v>
      </c>
    </row>
    <row r="1900" spans="1:6" x14ac:dyDescent="0.25">
      <c r="A1900">
        <v>10</v>
      </c>
      <c r="B1900">
        <v>9</v>
      </c>
      <c r="C1900" s="26">
        <v>1.8</v>
      </c>
      <c r="D1900" s="26">
        <v>1</v>
      </c>
      <c r="E1900" s="78">
        <v>86</v>
      </c>
      <c r="F1900">
        <f t="shared" si="36"/>
        <v>1.1627906976744186E-2</v>
      </c>
    </row>
    <row r="1901" spans="1:6" x14ac:dyDescent="0.25">
      <c r="A1901">
        <v>10</v>
      </c>
      <c r="B1901">
        <v>9</v>
      </c>
      <c r="C1901" s="26">
        <v>1.8</v>
      </c>
      <c r="D1901" s="26">
        <v>1.5</v>
      </c>
      <c r="E1901" s="78">
        <v>130</v>
      </c>
      <c r="F1901">
        <f t="shared" si="36"/>
        <v>1.1538461538461539E-2</v>
      </c>
    </row>
    <row r="1902" spans="1:6" x14ac:dyDescent="0.25">
      <c r="A1902">
        <v>10</v>
      </c>
      <c r="B1902">
        <v>9</v>
      </c>
      <c r="C1902" s="26">
        <v>1.8</v>
      </c>
      <c r="D1902" s="26">
        <v>2</v>
      </c>
      <c r="E1902" s="78">
        <v>173</v>
      </c>
      <c r="F1902">
        <f t="shared" si="36"/>
        <v>1.1560693641618497E-2</v>
      </c>
    </row>
    <row r="1903" spans="1:6" x14ac:dyDescent="0.25">
      <c r="A1903">
        <v>10</v>
      </c>
      <c r="B1903">
        <v>9</v>
      </c>
      <c r="C1903" s="26">
        <v>1.8</v>
      </c>
      <c r="D1903" s="26">
        <v>2.5</v>
      </c>
      <c r="E1903" s="78">
        <v>216</v>
      </c>
      <c r="F1903">
        <f t="shared" si="36"/>
        <v>1.1574074074074073E-2</v>
      </c>
    </row>
    <row r="1904" spans="1:6" x14ac:dyDescent="0.25">
      <c r="A1904">
        <v>10</v>
      </c>
      <c r="B1904">
        <v>9</v>
      </c>
      <c r="C1904" s="26">
        <v>1.8</v>
      </c>
      <c r="D1904" s="26">
        <v>3</v>
      </c>
      <c r="E1904" s="78">
        <v>259</v>
      </c>
      <c r="F1904">
        <f t="shared" si="36"/>
        <v>1.1583011583011582E-2</v>
      </c>
    </row>
    <row r="1905" spans="1:6" x14ac:dyDescent="0.25">
      <c r="A1905">
        <v>10</v>
      </c>
      <c r="B1905">
        <v>9</v>
      </c>
      <c r="C1905" s="26">
        <v>2</v>
      </c>
      <c r="D1905" s="26">
        <v>0.5</v>
      </c>
      <c r="E1905" s="78">
        <v>44</v>
      </c>
      <c r="F1905">
        <f t="shared" si="36"/>
        <v>1.1363636363636364E-2</v>
      </c>
    </row>
    <row r="1906" spans="1:6" x14ac:dyDescent="0.25">
      <c r="A1906">
        <v>10</v>
      </c>
      <c r="B1906">
        <v>9</v>
      </c>
      <c r="C1906" s="26">
        <v>2</v>
      </c>
      <c r="D1906" s="26">
        <v>1</v>
      </c>
      <c r="E1906" s="78">
        <v>88</v>
      </c>
      <c r="F1906">
        <f t="shared" si="36"/>
        <v>1.1363636363636364E-2</v>
      </c>
    </row>
    <row r="1907" spans="1:6" x14ac:dyDescent="0.25">
      <c r="A1907">
        <v>10</v>
      </c>
      <c r="B1907">
        <v>9</v>
      </c>
      <c r="C1907" s="26">
        <v>2</v>
      </c>
      <c r="D1907" s="26">
        <v>1.5</v>
      </c>
      <c r="E1907" s="78">
        <v>133</v>
      </c>
      <c r="F1907">
        <f t="shared" si="36"/>
        <v>1.1278195488721804E-2</v>
      </c>
    </row>
    <row r="1908" spans="1:6" x14ac:dyDescent="0.25">
      <c r="A1908">
        <v>10</v>
      </c>
      <c r="B1908">
        <v>9</v>
      </c>
      <c r="C1908" s="26">
        <v>2</v>
      </c>
      <c r="D1908" s="26">
        <v>2</v>
      </c>
      <c r="E1908" s="78">
        <v>177</v>
      </c>
      <c r="F1908">
        <f t="shared" si="36"/>
        <v>1.1299435028248588E-2</v>
      </c>
    </row>
    <row r="1909" spans="1:6" x14ac:dyDescent="0.25">
      <c r="A1909">
        <v>10</v>
      </c>
      <c r="B1909">
        <v>9</v>
      </c>
      <c r="C1909" s="26">
        <v>2</v>
      </c>
      <c r="D1909" s="26">
        <v>2.5</v>
      </c>
      <c r="E1909" s="78">
        <v>221</v>
      </c>
      <c r="F1909">
        <f t="shared" si="36"/>
        <v>1.1312217194570135E-2</v>
      </c>
    </row>
    <row r="1910" spans="1:6" x14ac:dyDescent="0.25">
      <c r="A1910">
        <v>10</v>
      </c>
      <c r="B1910">
        <v>9</v>
      </c>
      <c r="C1910" s="26">
        <v>2</v>
      </c>
      <c r="D1910" s="26">
        <v>3</v>
      </c>
      <c r="E1910" s="78">
        <v>265</v>
      </c>
      <c r="F1910">
        <f t="shared" si="36"/>
        <v>1.1320754716981131E-2</v>
      </c>
    </row>
    <row r="1911" spans="1:6" x14ac:dyDescent="0.25">
      <c r="A1911">
        <v>10</v>
      </c>
      <c r="B1911">
        <v>9</v>
      </c>
      <c r="C1911" s="26">
        <v>2.2000000000000002</v>
      </c>
      <c r="D1911" s="26">
        <v>0.5</v>
      </c>
      <c r="E1911" s="78">
        <v>45</v>
      </c>
      <c r="F1911">
        <f t="shared" si="36"/>
        <v>1.1111111111111112E-2</v>
      </c>
    </row>
    <row r="1912" spans="1:6" x14ac:dyDescent="0.25">
      <c r="A1912">
        <v>10</v>
      </c>
      <c r="B1912">
        <v>9</v>
      </c>
      <c r="C1912" s="26">
        <v>2.2000000000000002</v>
      </c>
      <c r="D1912" s="26">
        <v>1</v>
      </c>
      <c r="E1912" s="78">
        <v>90</v>
      </c>
      <c r="F1912">
        <f t="shared" si="36"/>
        <v>1.1111111111111112E-2</v>
      </c>
    </row>
    <row r="1913" spans="1:6" x14ac:dyDescent="0.25">
      <c r="A1913">
        <v>10</v>
      </c>
      <c r="B1913">
        <v>9</v>
      </c>
      <c r="C1913" s="26">
        <v>2.2000000000000002</v>
      </c>
      <c r="D1913" s="26">
        <v>1.5</v>
      </c>
      <c r="E1913" s="78">
        <v>136</v>
      </c>
      <c r="F1913">
        <f t="shared" si="36"/>
        <v>1.1029411764705883E-2</v>
      </c>
    </row>
    <row r="1914" spans="1:6" x14ac:dyDescent="0.25">
      <c r="A1914">
        <v>10</v>
      </c>
      <c r="B1914">
        <v>9</v>
      </c>
      <c r="C1914" s="26">
        <v>2.2000000000000002</v>
      </c>
      <c r="D1914" s="26">
        <v>2</v>
      </c>
      <c r="E1914" s="78">
        <v>181</v>
      </c>
      <c r="F1914">
        <f t="shared" si="36"/>
        <v>1.1049723756906077E-2</v>
      </c>
    </row>
    <row r="1915" spans="1:6" x14ac:dyDescent="0.25">
      <c r="A1915">
        <v>10</v>
      </c>
      <c r="B1915">
        <v>9</v>
      </c>
      <c r="C1915" s="26">
        <v>2.2000000000000002</v>
      </c>
      <c r="D1915" s="26">
        <v>2.5</v>
      </c>
      <c r="E1915" s="78">
        <v>226</v>
      </c>
      <c r="F1915">
        <f t="shared" si="36"/>
        <v>1.1061946902654867E-2</v>
      </c>
    </row>
    <row r="1916" spans="1:6" x14ac:dyDescent="0.25">
      <c r="A1916">
        <v>10</v>
      </c>
      <c r="B1916">
        <v>9</v>
      </c>
      <c r="C1916" s="26">
        <v>2.2000000000000002</v>
      </c>
      <c r="D1916" s="26">
        <v>3</v>
      </c>
      <c r="E1916" s="78">
        <v>271</v>
      </c>
      <c r="F1916">
        <f t="shared" si="36"/>
        <v>1.107011070110701E-2</v>
      </c>
    </row>
    <row r="1917" spans="1:6" x14ac:dyDescent="0.25">
      <c r="A1917">
        <v>10</v>
      </c>
      <c r="B1917">
        <v>9</v>
      </c>
      <c r="C1917" s="26">
        <v>2.4</v>
      </c>
      <c r="D1917" s="26">
        <v>0.5</v>
      </c>
      <c r="E1917" s="78">
        <v>46</v>
      </c>
      <c r="F1917">
        <f t="shared" si="36"/>
        <v>1.0869565217391304E-2</v>
      </c>
    </row>
    <row r="1918" spans="1:6" x14ac:dyDescent="0.25">
      <c r="A1918">
        <v>10</v>
      </c>
      <c r="B1918">
        <v>9</v>
      </c>
      <c r="C1918" s="26">
        <v>2.4</v>
      </c>
      <c r="D1918" s="26">
        <v>1</v>
      </c>
      <c r="E1918" s="78">
        <v>92</v>
      </c>
      <c r="F1918">
        <f t="shared" si="36"/>
        <v>1.0869565217391304E-2</v>
      </c>
    </row>
    <row r="1919" spans="1:6" x14ac:dyDescent="0.25">
      <c r="A1919">
        <v>10</v>
      </c>
      <c r="B1919">
        <v>9</v>
      </c>
      <c r="C1919" s="26">
        <v>2.4</v>
      </c>
      <c r="D1919" s="26">
        <v>1.5</v>
      </c>
      <c r="E1919" s="78">
        <v>138</v>
      </c>
      <c r="F1919">
        <f t="shared" si="36"/>
        <v>1.0869565217391304E-2</v>
      </c>
    </row>
    <row r="1920" spans="1:6" x14ac:dyDescent="0.25">
      <c r="A1920">
        <v>10</v>
      </c>
      <c r="B1920">
        <v>9</v>
      </c>
      <c r="C1920" s="26">
        <v>2.4</v>
      </c>
      <c r="D1920" s="26">
        <v>2</v>
      </c>
      <c r="E1920" s="78">
        <v>184</v>
      </c>
      <c r="F1920">
        <f t="shared" si="36"/>
        <v>1.0869565217391304E-2</v>
      </c>
    </row>
    <row r="1921" spans="1:6" x14ac:dyDescent="0.25">
      <c r="A1921">
        <v>10</v>
      </c>
      <c r="B1921">
        <v>9</v>
      </c>
      <c r="C1921" s="26">
        <v>2.4</v>
      </c>
      <c r="D1921" s="26">
        <v>2.5</v>
      </c>
      <c r="E1921" s="78">
        <v>230</v>
      </c>
      <c r="F1921">
        <f t="shared" ref="F1921:F1940" si="37">D1921/E1921</f>
        <v>1.0869565217391304E-2</v>
      </c>
    </row>
    <row r="1922" spans="1:6" x14ac:dyDescent="0.25">
      <c r="A1922">
        <v>10</v>
      </c>
      <c r="B1922">
        <v>9</v>
      </c>
      <c r="C1922" s="26">
        <v>2.4</v>
      </c>
      <c r="D1922" s="26">
        <v>3</v>
      </c>
      <c r="E1922" s="78">
        <v>276</v>
      </c>
      <c r="F1922">
        <f t="shared" si="37"/>
        <v>1.0869565217391304E-2</v>
      </c>
    </row>
    <row r="1923" spans="1:6" x14ac:dyDescent="0.25">
      <c r="A1923">
        <v>10</v>
      </c>
      <c r="B1923">
        <v>9</v>
      </c>
      <c r="C1923" s="26">
        <v>2.6</v>
      </c>
      <c r="D1923" s="26">
        <v>0.5</v>
      </c>
      <c r="E1923" s="78">
        <v>47</v>
      </c>
      <c r="F1923">
        <f t="shared" si="37"/>
        <v>1.0638297872340425E-2</v>
      </c>
    </row>
    <row r="1924" spans="1:6" x14ac:dyDescent="0.25">
      <c r="A1924">
        <v>10</v>
      </c>
      <c r="B1924">
        <v>9</v>
      </c>
      <c r="C1924" s="26">
        <v>2.6</v>
      </c>
      <c r="D1924" s="26">
        <v>1</v>
      </c>
      <c r="E1924" s="78">
        <v>94</v>
      </c>
      <c r="F1924">
        <f t="shared" si="37"/>
        <v>1.0638297872340425E-2</v>
      </c>
    </row>
    <row r="1925" spans="1:6" x14ac:dyDescent="0.25">
      <c r="A1925">
        <v>10</v>
      </c>
      <c r="B1925">
        <v>9</v>
      </c>
      <c r="C1925" s="26">
        <v>2.6</v>
      </c>
      <c r="D1925" s="26">
        <v>1.5</v>
      </c>
      <c r="E1925" s="78">
        <v>141</v>
      </c>
      <c r="F1925">
        <f t="shared" si="37"/>
        <v>1.0638297872340425E-2</v>
      </c>
    </row>
    <row r="1926" spans="1:6" x14ac:dyDescent="0.25">
      <c r="A1926">
        <v>10</v>
      </c>
      <c r="B1926">
        <v>9</v>
      </c>
      <c r="C1926" s="26">
        <v>2.6</v>
      </c>
      <c r="D1926" s="26">
        <v>2</v>
      </c>
      <c r="E1926" s="78">
        <v>187</v>
      </c>
      <c r="F1926">
        <f t="shared" si="37"/>
        <v>1.06951871657754E-2</v>
      </c>
    </row>
    <row r="1927" spans="1:6" x14ac:dyDescent="0.25">
      <c r="A1927">
        <v>10</v>
      </c>
      <c r="B1927">
        <v>9</v>
      </c>
      <c r="C1927" s="26">
        <v>2.6</v>
      </c>
      <c r="D1927" s="26">
        <v>2.5</v>
      </c>
      <c r="E1927" s="78">
        <v>234</v>
      </c>
      <c r="F1927">
        <f t="shared" si="37"/>
        <v>1.0683760683760684E-2</v>
      </c>
    </row>
    <row r="1928" spans="1:6" x14ac:dyDescent="0.25">
      <c r="A1928">
        <v>10</v>
      </c>
      <c r="B1928">
        <v>9</v>
      </c>
      <c r="C1928" s="26">
        <v>2.6</v>
      </c>
      <c r="D1928" s="26">
        <v>3</v>
      </c>
      <c r="E1928" s="78">
        <v>281</v>
      </c>
      <c r="F1928">
        <f t="shared" si="37"/>
        <v>1.0676156583629894E-2</v>
      </c>
    </row>
    <row r="1929" spans="1:6" x14ac:dyDescent="0.25">
      <c r="A1929">
        <v>10</v>
      </c>
      <c r="B1929">
        <v>9</v>
      </c>
      <c r="C1929" s="26">
        <v>2.8</v>
      </c>
      <c r="D1929" s="26">
        <v>0.5</v>
      </c>
      <c r="E1929" s="78">
        <v>48</v>
      </c>
      <c r="F1929">
        <f t="shared" si="37"/>
        <v>1.0416666666666666E-2</v>
      </c>
    </row>
    <row r="1930" spans="1:6" x14ac:dyDescent="0.25">
      <c r="A1930">
        <v>10</v>
      </c>
      <c r="B1930">
        <v>9</v>
      </c>
      <c r="C1930" s="26">
        <v>2.8</v>
      </c>
      <c r="D1930" s="26">
        <v>1</v>
      </c>
      <c r="E1930" s="78">
        <v>96</v>
      </c>
      <c r="F1930">
        <f t="shared" si="37"/>
        <v>1.0416666666666666E-2</v>
      </c>
    </row>
    <row r="1931" spans="1:6" x14ac:dyDescent="0.25">
      <c r="A1931">
        <v>10</v>
      </c>
      <c r="B1931">
        <v>9</v>
      </c>
      <c r="C1931" s="26">
        <v>2.8</v>
      </c>
      <c r="D1931" s="26">
        <v>1.5</v>
      </c>
      <c r="E1931" s="78">
        <v>144</v>
      </c>
      <c r="F1931">
        <f t="shared" si="37"/>
        <v>1.0416666666666666E-2</v>
      </c>
    </row>
    <row r="1932" spans="1:6" x14ac:dyDescent="0.25">
      <c r="A1932">
        <v>10</v>
      </c>
      <c r="B1932">
        <v>9</v>
      </c>
      <c r="C1932" s="26">
        <v>2.8</v>
      </c>
      <c r="D1932" s="26">
        <v>2</v>
      </c>
      <c r="E1932" s="78">
        <v>191</v>
      </c>
      <c r="F1932">
        <f t="shared" si="37"/>
        <v>1.0471204188481676E-2</v>
      </c>
    </row>
    <row r="1933" spans="1:6" x14ac:dyDescent="0.25">
      <c r="A1933">
        <v>10</v>
      </c>
      <c r="B1933">
        <v>9</v>
      </c>
      <c r="C1933" s="26">
        <v>2.8</v>
      </c>
      <c r="D1933" s="26">
        <v>2.5</v>
      </c>
      <c r="E1933" s="78">
        <v>239</v>
      </c>
      <c r="F1933">
        <f t="shared" si="37"/>
        <v>1.0460251046025104E-2</v>
      </c>
    </row>
    <row r="1934" spans="1:6" x14ac:dyDescent="0.25">
      <c r="A1934">
        <v>10</v>
      </c>
      <c r="B1934">
        <v>9</v>
      </c>
      <c r="C1934" s="26">
        <v>2.8</v>
      </c>
      <c r="D1934" s="26">
        <v>3</v>
      </c>
      <c r="E1934" s="78">
        <v>287</v>
      </c>
      <c r="F1934">
        <f t="shared" si="37"/>
        <v>1.0452961672473868E-2</v>
      </c>
    </row>
    <row r="1935" spans="1:6" x14ac:dyDescent="0.25">
      <c r="A1935">
        <v>10</v>
      </c>
      <c r="B1935">
        <v>9</v>
      </c>
      <c r="C1935" s="26">
        <v>3</v>
      </c>
      <c r="D1935" s="26">
        <v>0.5</v>
      </c>
      <c r="E1935" s="78">
        <v>49</v>
      </c>
      <c r="F1935">
        <f t="shared" si="37"/>
        <v>1.020408163265306E-2</v>
      </c>
    </row>
    <row r="1936" spans="1:6" x14ac:dyDescent="0.25">
      <c r="A1936">
        <v>10</v>
      </c>
      <c r="B1936">
        <v>9</v>
      </c>
      <c r="C1936" s="26">
        <v>3</v>
      </c>
      <c r="D1936" s="26">
        <v>1</v>
      </c>
      <c r="E1936" s="78">
        <v>97</v>
      </c>
      <c r="F1936">
        <f t="shared" si="37"/>
        <v>1.0309278350515464E-2</v>
      </c>
    </row>
    <row r="1937" spans="1:6" x14ac:dyDescent="0.25">
      <c r="A1937">
        <v>10</v>
      </c>
      <c r="B1937">
        <v>9</v>
      </c>
      <c r="C1937" s="26">
        <v>3</v>
      </c>
      <c r="D1937" s="26">
        <v>1.5</v>
      </c>
      <c r="E1937" s="78">
        <v>146</v>
      </c>
      <c r="F1937">
        <f t="shared" si="37"/>
        <v>1.0273972602739725E-2</v>
      </c>
    </row>
    <row r="1938" spans="1:6" x14ac:dyDescent="0.25">
      <c r="A1938">
        <v>10</v>
      </c>
      <c r="B1938">
        <v>9</v>
      </c>
      <c r="C1938" s="26">
        <v>3</v>
      </c>
      <c r="D1938" s="26">
        <v>2</v>
      </c>
      <c r="E1938" s="78">
        <v>195</v>
      </c>
      <c r="F1938">
        <f t="shared" si="37"/>
        <v>1.0256410256410256E-2</v>
      </c>
    </row>
    <row r="1939" spans="1:6" x14ac:dyDescent="0.25">
      <c r="A1939">
        <v>10</v>
      </c>
      <c r="B1939">
        <v>9</v>
      </c>
      <c r="C1939" s="26">
        <v>3</v>
      </c>
      <c r="D1939" s="26">
        <v>2.5</v>
      </c>
      <c r="E1939" s="78">
        <v>243</v>
      </c>
      <c r="F1939">
        <f t="shared" si="37"/>
        <v>1.0288065843621399E-2</v>
      </c>
    </row>
    <row r="1940" spans="1:6" x14ac:dyDescent="0.25">
      <c r="A1940">
        <v>10</v>
      </c>
      <c r="B1940">
        <v>9</v>
      </c>
      <c r="C1940" s="73">
        <v>3</v>
      </c>
      <c r="D1940" s="73">
        <v>3</v>
      </c>
      <c r="E1940" s="78">
        <v>292</v>
      </c>
      <c r="F1940">
        <f t="shared" si="37"/>
        <v>1.0273972602739725E-2</v>
      </c>
    </row>
    <row r="1942" spans="1:6" x14ac:dyDescent="0.25">
      <c r="A1942">
        <v>15</v>
      </c>
      <c r="B1942">
        <v>9</v>
      </c>
      <c r="C1942" s="26">
        <v>0.4</v>
      </c>
      <c r="D1942" s="26">
        <v>0.5</v>
      </c>
      <c r="E1942" s="78">
        <v>23</v>
      </c>
      <c r="F1942">
        <f t="shared" ref="F1942:F2005" si="38">D1942/E1942</f>
        <v>2.1739130434782608E-2</v>
      </c>
    </row>
    <row r="1943" spans="1:6" x14ac:dyDescent="0.25">
      <c r="A1943">
        <v>15</v>
      </c>
      <c r="B1943">
        <v>9</v>
      </c>
      <c r="C1943" s="26">
        <v>0.4</v>
      </c>
      <c r="D1943" s="26">
        <v>1</v>
      </c>
      <c r="E1943" s="78">
        <v>47</v>
      </c>
      <c r="F1943">
        <f t="shared" si="38"/>
        <v>2.1276595744680851E-2</v>
      </c>
    </row>
    <row r="1944" spans="1:6" x14ac:dyDescent="0.25">
      <c r="A1944">
        <v>15</v>
      </c>
      <c r="B1944">
        <v>9</v>
      </c>
      <c r="C1944" s="26">
        <v>0.4</v>
      </c>
      <c r="D1944" s="26">
        <v>1.5</v>
      </c>
      <c r="E1944" s="78">
        <v>70</v>
      </c>
      <c r="F1944">
        <f t="shared" si="38"/>
        <v>2.1428571428571429E-2</v>
      </c>
    </row>
    <row r="1945" spans="1:6" x14ac:dyDescent="0.25">
      <c r="A1945">
        <v>15</v>
      </c>
      <c r="B1945">
        <v>9</v>
      </c>
      <c r="C1945" s="26">
        <v>0.4</v>
      </c>
      <c r="D1945" s="26">
        <v>2</v>
      </c>
      <c r="E1945" s="78">
        <v>93</v>
      </c>
      <c r="F1945">
        <f t="shared" si="38"/>
        <v>2.1505376344086023E-2</v>
      </c>
    </row>
    <row r="1946" spans="1:6" x14ac:dyDescent="0.25">
      <c r="A1946">
        <v>15</v>
      </c>
      <c r="B1946">
        <v>9</v>
      </c>
      <c r="C1946" s="26">
        <v>0.4</v>
      </c>
      <c r="D1946" s="26">
        <v>2.5</v>
      </c>
      <c r="E1946" s="78">
        <v>117</v>
      </c>
      <c r="F1946">
        <f t="shared" si="38"/>
        <v>2.1367521367521368E-2</v>
      </c>
    </row>
    <row r="1947" spans="1:6" x14ac:dyDescent="0.25">
      <c r="A1947">
        <v>15</v>
      </c>
      <c r="B1947">
        <v>9</v>
      </c>
      <c r="C1947" s="26">
        <v>0.4</v>
      </c>
      <c r="D1947" s="26">
        <v>3</v>
      </c>
      <c r="E1947" s="78">
        <v>140</v>
      </c>
      <c r="F1947">
        <f t="shared" si="38"/>
        <v>2.1428571428571429E-2</v>
      </c>
    </row>
    <row r="1948" spans="1:6" x14ac:dyDescent="0.25">
      <c r="A1948">
        <v>15</v>
      </c>
      <c r="B1948">
        <v>9</v>
      </c>
      <c r="C1948" s="26">
        <v>0.6</v>
      </c>
      <c r="D1948" s="26">
        <v>0.5</v>
      </c>
      <c r="E1948" s="78">
        <v>24</v>
      </c>
      <c r="F1948">
        <f t="shared" si="38"/>
        <v>2.0833333333333332E-2</v>
      </c>
    </row>
    <row r="1949" spans="1:6" x14ac:dyDescent="0.25">
      <c r="A1949">
        <v>15</v>
      </c>
      <c r="B1949">
        <v>9</v>
      </c>
      <c r="C1949" s="26">
        <v>0.6</v>
      </c>
      <c r="D1949" s="26">
        <v>1</v>
      </c>
      <c r="E1949" s="78">
        <v>49</v>
      </c>
      <c r="F1949">
        <f t="shared" si="38"/>
        <v>2.0408163265306121E-2</v>
      </c>
    </row>
    <row r="1950" spans="1:6" x14ac:dyDescent="0.25">
      <c r="A1950">
        <v>15</v>
      </c>
      <c r="B1950">
        <v>9</v>
      </c>
      <c r="C1950" s="26">
        <v>0.6</v>
      </c>
      <c r="D1950" s="26">
        <v>1.5</v>
      </c>
      <c r="E1950" s="78">
        <v>73</v>
      </c>
      <c r="F1950">
        <f t="shared" si="38"/>
        <v>2.0547945205479451E-2</v>
      </c>
    </row>
    <row r="1951" spans="1:6" x14ac:dyDescent="0.25">
      <c r="A1951">
        <v>15</v>
      </c>
      <c r="B1951">
        <v>9</v>
      </c>
      <c r="C1951" s="26">
        <v>0.6</v>
      </c>
      <c r="D1951" s="26">
        <v>2</v>
      </c>
      <c r="E1951" s="78">
        <v>97</v>
      </c>
      <c r="F1951">
        <f t="shared" si="38"/>
        <v>2.0618556701030927E-2</v>
      </c>
    </row>
    <row r="1952" spans="1:6" x14ac:dyDescent="0.25">
      <c r="A1952">
        <v>15</v>
      </c>
      <c r="B1952">
        <v>9</v>
      </c>
      <c r="C1952" s="26">
        <v>0.6</v>
      </c>
      <c r="D1952" s="26">
        <v>2.5</v>
      </c>
      <c r="E1952" s="78">
        <v>122</v>
      </c>
      <c r="F1952">
        <f t="shared" si="38"/>
        <v>2.0491803278688523E-2</v>
      </c>
    </row>
    <row r="1953" spans="1:6" x14ac:dyDescent="0.25">
      <c r="A1953">
        <v>15</v>
      </c>
      <c r="B1953">
        <v>9</v>
      </c>
      <c r="C1953" s="26">
        <v>0.6</v>
      </c>
      <c r="D1953" s="26">
        <v>3</v>
      </c>
      <c r="E1953" s="78">
        <v>146</v>
      </c>
      <c r="F1953">
        <f t="shared" si="38"/>
        <v>2.0547945205479451E-2</v>
      </c>
    </row>
    <row r="1954" spans="1:6" x14ac:dyDescent="0.25">
      <c r="A1954">
        <v>15</v>
      </c>
      <c r="B1954">
        <v>9</v>
      </c>
      <c r="C1954" s="26">
        <v>0.8</v>
      </c>
      <c r="D1954" s="26">
        <v>0.5</v>
      </c>
      <c r="E1954" s="78">
        <v>25</v>
      </c>
      <c r="F1954">
        <f t="shared" si="38"/>
        <v>0.02</v>
      </c>
    </row>
    <row r="1955" spans="1:6" x14ac:dyDescent="0.25">
      <c r="A1955">
        <v>15</v>
      </c>
      <c r="B1955">
        <v>9</v>
      </c>
      <c r="C1955" s="26">
        <v>0.8</v>
      </c>
      <c r="D1955" s="26">
        <v>1</v>
      </c>
      <c r="E1955" s="78">
        <v>50</v>
      </c>
      <c r="F1955">
        <f t="shared" si="38"/>
        <v>0.02</v>
      </c>
    </row>
    <row r="1956" spans="1:6" x14ac:dyDescent="0.25">
      <c r="A1956">
        <v>15</v>
      </c>
      <c r="B1956">
        <v>9</v>
      </c>
      <c r="C1956" s="26">
        <v>0.8</v>
      </c>
      <c r="D1956" s="26">
        <v>1.5</v>
      </c>
      <c r="E1956" s="78">
        <v>76</v>
      </c>
      <c r="F1956">
        <f t="shared" si="38"/>
        <v>1.9736842105263157E-2</v>
      </c>
    </row>
    <row r="1957" spans="1:6" x14ac:dyDescent="0.25">
      <c r="A1957">
        <v>15</v>
      </c>
      <c r="B1957">
        <v>9</v>
      </c>
      <c r="C1957" s="26">
        <v>0.8</v>
      </c>
      <c r="D1957" s="26">
        <v>2</v>
      </c>
      <c r="E1957" s="78">
        <v>101</v>
      </c>
      <c r="F1957">
        <f t="shared" si="38"/>
        <v>1.9801980198019802E-2</v>
      </c>
    </row>
    <row r="1958" spans="1:6" x14ac:dyDescent="0.25">
      <c r="A1958">
        <v>15</v>
      </c>
      <c r="B1958">
        <v>9</v>
      </c>
      <c r="C1958" s="26">
        <v>0.8</v>
      </c>
      <c r="D1958" s="26">
        <v>2.5</v>
      </c>
      <c r="E1958" s="78">
        <v>126</v>
      </c>
      <c r="F1958">
        <f t="shared" si="38"/>
        <v>1.984126984126984E-2</v>
      </c>
    </row>
    <row r="1959" spans="1:6" x14ac:dyDescent="0.25">
      <c r="A1959">
        <v>15</v>
      </c>
      <c r="B1959">
        <v>9</v>
      </c>
      <c r="C1959" s="26">
        <v>0.8</v>
      </c>
      <c r="D1959" s="26">
        <v>3</v>
      </c>
      <c r="E1959" s="78">
        <v>151</v>
      </c>
      <c r="F1959">
        <f t="shared" si="38"/>
        <v>1.9867549668874173E-2</v>
      </c>
    </row>
    <row r="1960" spans="1:6" x14ac:dyDescent="0.25">
      <c r="A1960">
        <v>15</v>
      </c>
      <c r="B1960">
        <v>9</v>
      </c>
      <c r="C1960" s="26">
        <v>1</v>
      </c>
      <c r="D1960" s="26">
        <v>0.5</v>
      </c>
      <c r="E1960" s="78">
        <v>26</v>
      </c>
      <c r="F1960">
        <f t="shared" si="38"/>
        <v>1.9230769230769232E-2</v>
      </c>
    </row>
    <row r="1961" spans="1:6" x14ac:dyDescent="0.25">
      <c r="A1961">
        <v>15</v>
      </c>
      <c r="B1961">
        <v>9</v>
      </c>
      <c r="C1961" s="26">
        <v>1</v>
      </c>
      <c r="D1961" s="26">
        <v>1</v>
      </c>
      <c r="E1961" s="78">
        <v>52</v>
      </c>
      <c r="F1961">
        <f t="shared" si="38"/>
        <v>1.9230769230769232E-2</v>
      </c>
    </row>
    <row r="1962" spans="1:6" x14ac:dyDescent="0.25">
      <c r="A1962">
        <v>15</v>
      </c>
      <c r="B1962">
        <v>9</v>
      </c>
      <c r="C1962" s="26">
        <v>1</v>
      </c>
      <c r="D1962" s="26">
        <v>1.5</v>
      </c>
      <c r="E1962" s="78">
        <v>78</v>
      </c>
      <c r="F1962">
        <f t="shared" si="38"/>
        <v>1.9230769230769232E-2</v>
      </c>
    </row>
    <row r="1963" spans="1:6" x14ac:dyDescent="0.25">
      <c r="A1963">
        <v>15</v>
      </c>
      <c r="B1963">
        <v>9</v>
      </c>
      <c r="C1963" s="26">
        <v>1</v>
      </c>
      <c r="D1963" s="26">
        <v>2</v>
      </c>
      <c r="E1963" s="78">
        <v>104</v>
      </c>
      <c r="F1963">
        <f t="shared" si="38"/>
        <v>1.9230769230769232E-2</v>
      </c>
    </row>
    <row r="1964" spans="1:6" x14ac:dyDescent="0.25">
      <c r="A1964">
        <v>15</v>
      </c>
      <c r="B1964">
        <v>9</v>
      </c>
      <c r="C1964" s="26">
        <v>1</v>
      </c>
      <c r="D1964" s="26">
        <v>2.5</v>
      </c>
      <c r="E1964" s="78">
        <v>130</v>
      </c>
      <c r="F1964">
        <f t="shared" si="38"/>
        <v>1.9230769230769232E-2</v>
      </c>
    </row>
    <row r="1965" spans="1:6" x14ac:dyDescent="0.25">
      <c r="A1965">
        <v>15</v>
      </c>
      <c r="B1965">
        <v>9</v>
      </c>
      <c r="C1965" s="26">
        <v>1</v>
      </c>
      <c r="D1965" s="26">
        <v>3</v>
      </c>
      <c r="E1965" s="78">
        <v>156</v>
      </c>
      <c r="F1965">
        <f t="shared" si="38"/>
        <v>1.9230769230769232E-2</v>
      </c>
    </row>
    <row r="1966" spans="1:6" x14ac:dyDescent="0.25">
      <c r="A1966">
        <v>15</v>
      </c>
      <c r="B1966">
        <v>9</v>
      </c>
      <c r="C1966" s="26">
        <v>1.2</v>
      </c>
      <c r="D1966" s="26">
        <v>0.5</v>
      </c>
      <c r="E1966" s="78">
        <v>27</v>
      </c>
      <c r="F1966">
        <f t="shared" si="38"/>
        <v>1.8518518518518517E-2</v>
      </c>
    </row>
    <row r="1967" spans="1:6" x14ac:dyDescent="0.25">
      <c r="A1967">
        <v>15</v>
      </c>
      <c r="B1967">
        <v>9</v>
      </c>
      <c r="C1967" s="26">
        <v>1.2</v>
      </c>
      <c r="D1967" s="26">
        <v>1</v>
      </c>
      <c r="E1967" s="78">
        <v>53</v>
      </c>
      <c r="F1967">
        <f t="shared" si="38"/>
        <v>1.8867924528301886E-2</v>
      </c>
    </row>
    <row r="1968" spans="1:6" x14ac:dyDescent="0.25">
      <c r="A1968">
        <v>15</v>
      </c>
      <c r="B1968">
        <v>9</v>
      </c>
      <c r="C1968" s="26">
        <v>1.2</v>
      </c>
      <c r="D1968" s="26">
        <v>1.5</v>
      </c>
      <c r="E1968" s="78">
        <v>80</v>
      </c>
      <c r="F1968">
        <f t="shared" si="38"/>
        <v>1.8749999999999999E-2</v>
      </c>
    </row>
    <row r="1969" spans="1:6" x14ac:dyDescent="0.25">
      <c r="A1969">
        <v>15</v>
      </c>
      <c r="B1969">
        <v>9</v>
      </c>
      <c r="C1969" s="26">
        <v>1.2</v>
      </c>
      <c r="D1969" s="26">
        <v>2</v>
      </c>
      <c r="E1969" s="78">
        <v>107</v>
      </c>
      <c r="F1969">
        <f t="shared" si="38"/>
        <v>1.8691588785046728E-2</v>
      </c>
    </row>
    <row r="1970" spans="1:6" x14ac:dyDescent="0.25">
      <c r="A1970">
        <v>15</v>
      </c>
      <c r="B1970">
        <v>9</v>
      </c>
      <c r="C1970" s="26">
        <v>1.2</v>
      </c>
      <c r="D1970" s="26">
        <v>2.5</v>
      </c>
      <c r="E1970" s="78">
        <v>133</v>
      </c>
      <c r="F1970">
        <f t="shared" si="38"/>
        <v>1.8796992481203006E-2</v>
      </c>
    </row>
    <row r="1971" spans="1:6" x14ac:dyDescent="0.25">
      <c r="A1971">
        <v>15</v>
      </c>
      <c r="B1971">
        <v>9</v>
      </c>
      <c r="C1971" s="26">
        <v>1.2</v>
      </c>
      <c r="D1971" s="26">
        <v>3</v>
      </c>
      <c r="E1971" s="78">
        <v>160</v>
      </c>
      <c r="F1971">
        <f t="shared" si="38"/>
        <v>1.8749999999999999E-2</v>
      </c>
    </row>
    <row r="1972" spans="1:6" x14ac:dyDescent="0.25">
      <c r="A1972">
        <v>15</v>
      </c>
      <c r="B1972">
        <v>9</v>
      </c>
      <c r="C1972" s="26">
        <v>1.4</v>
      </c>
      <c r="D1972" s="26">
        <v>0.5</v>
      </c>
      <c r="E1972" s="78">
        <v>28</v>
      </c>
      <c r="F1972">
        <f t="shared" si="38"/>
        <v>1.7857142857142856E-2</v>
      </c>
    </row>
    <row r="1973" spans="1:6" x14ac:dyDescent="0.25">
      <c r="A1973">
        <v>15</v>
      </c>
      <c r="B1973">
        <v>9</v>
      </c>
      <c r="C1973" s="26">
        <v>1.4</v>
      </c>
      <c r="D1973" s="26">
        <v>1</v>
      </c>
      <c r="E1973" s="78">
        <v>55</v>
      </c>
      <c r="F1973">
        <f t="shared" si="38"/>
        <v>1.8181818181818181E-2</v>
      </c>
    </row>
    <row r="1974" spans="1:6" x14ac:dyDescent="0.25">
      <c r="A1974">
        <v>15</v>
      </c>
      <c r="B1974">
        <v>9</v>
      </c>
      <c r="C1974" s="26">
        <v>1.4</v>
      </c>
      <c r="D1974" s="26">
        <v>1.5</v>
      </c>
      <c r="E1974" s="78">
        <v>83</v>
      </c>
      <c r="F1974">
        <f t="shared" si="38"/>
        <v>1.8072289156626505E-2</v>
      </c>
    </row>
    <row r="1975" spans="1:6" x14ac:dyDescent="0.25">
      <c r="A1975">
        <v>15</v>
      </c>
      <c r="B1975">
        <v>9</v>
      </c>
      <c r="C1975" s="26">
        <v>1.4</v>
      </c>
      <c r="D1975" s="26">
        <v>2</v>
      </c>
      <c r="E1975" s="78">
        <v>110</v>
      </c>
      <c r="F1975">
        <f t="shared" si="38"/>
        <v>1.8181818181818181E-2</v>
      </c>
    </row>
    <row r="1976" spans="1:6" x14ac:dyDescent="0.25">
      <c r="A1976">
        <v>15</v>
      </c>
      <c r="B1976">
        <v>9</v>
      </c>
      <c r="C1976" s="26">
        <v>1.4</v>
      </c>
      <c r="D1976" s="26">
        <v>2.5</v>
      </c>
      <c r="E1976" s="78">
        <v>138</v>
      </c>
      <c r="F1976">
        <f t="shared" si="38"/>
        <v>1.8115942028985508E-2</v>
      </c>
    </row>
    <row r="1977" spans="1:6" x14ac:dyDescent="0.25">
      <c r="A1977">
        <v>15</v>
      </c>
      <c r="B1977">
        <v>9</v>
      </c>
      <c r="C1977" s="26">
        <v>1.4</v>
      </c>
      <c r="D1977" s="26">
        <v>3</v>
      </c>
      <c r="E1977" s="78">
        <v>165</v>
      </c>
      <c r="F1977">
        <f t="shared" si="38"/>
        <v>1.8181818181818181E-2</v>
      </c>
    </row>
    <row r="1978" spans="1:6" x14ac:dyDescent="0.25">
      <c r="A1978">
        <v>15</v>
      </c>
      <c r="B1978">
        <v>9</v>
      </c>
      <c r="C1978" s="26">
        <v>1.6</v>
      </c>
      <c r="D1978" s="26">
        <v>0.5</v>
      </c>
      <c r="E1978" s="78">
        <v>28</v>
      </c>
      <c r="F1978">
        <f t="shared" si="38"/>
        <v>1.7857142857142856E-2</v>
      </c>
    </row>
    <row r="1979" spans="1:6" x14ac:dyDescent="0.25">
      <c r="A1979">
        <v>15</v>
      </c>
      <c r="B1979">
        <v>9</v>
      </c>
      <c r="C1979" s="26">
        <v>1.6</v>
      </c>
      <c r="D1979" s="26">
        <v>1</v>
      </c>
      <c r="E1979" s="78">
        <v>56</v>
      </c>
      <c r="F1979">
        <f t="shared" si="38"/>
        <v>1.7857142857142856E-2</v>
      </c>
    </row>
    <row r="1980" spans="1:6" x14ac:dyDescent="0.25">
      <c r="A1980">
        <v>15</v>
      </c>
      <c r="B1980">
        <v>9</v>
      </c>
      <c r="C1980" s="26">
        <v>1.6</v>
      </c>
      <c r="D1980" s="26">
        <v>1.5</v>
      </c>
      <c r="E1980" s="78">
        <v>85</v>
      </c>
      <c r="F1980">
        <f t="shared" si="38"/>
        <v>1.7647058823529412E-2</v>
      </c>
    </row>
    <row r="1981" spans="1:6" x14ac:dyDescent="0.25">
      <c r="A1981">
        <v>15</v>
      </c>
      <c r="B1981">
        <v>9</v>
      </c>
      <c r="C1981" s="26">
        <v>1.6</v>
      </c>
      <c r="D1981" s="26">
        <v>2</v>
      </c>
      <c r="E1981" s="78">
        <v>113</v>
      </c>
      <c r="F1981">
        <f t="shared" si="38"/>
        <v>1.7699115044247787E-2</v>
      </c>
    </row>
    <row r="1982" spans="1:6" x14ac:dyDescent="0.25">
      <c r="A1982">
        <v>15</v>
      </c>
      <c r="B1982">
        <v>9</v>
      </c>
      <c r="C1982" s="26">
        <v>1.6</v>
      </c>
      <c r="D1982" s="26">
        <v>2.5</v>
      </c>
      <c r="E1982" s="78">
        <v>141</v>
      </c>
      <c r="F1982">
        <f t="shared" si="38"/>
        <v>1.7730496453900711E-2</v>
      </c>
    </row>
    <row r="1983" spans="1:6" x14ac:dyDescent="0.25">
      <c r="A1983">
        <v>15</v>
      </c>
      <c r="B1983">
        <v>9</v>
      </c>
      <c r="C1983" s="26">
        <v>1.6</v>
      </c>
      <c r="D1983" s="26">
        <v>3</v>
      </c>
      <c r="E1983" s="78">
        <v>169</v>
      </c>
      <c r="F1983">
        <f t="shared" si="38"/>
        <v>1.7751479289940829E-2</v>
      </c>
    </row>
    <row r="1984" spans="1:6" x14ac:dyDescent="0.25">
      <c r="A1984">
        <v>15</v>
      </c>
      <c r="B1984">
        <v>9</v>
      </c>
      <c r="C1984" s="26">
        <v>1.8</v>
      </c>
      <c r="D1984" s="26">
        <v>0.5</v>
      </c>
      <c r="E1984" s="78">
        <v>29</v>
      </c>
      <c r="F1984">
        <f t="shared" si="38"/>
        <v>1.7241379310344827E-2</v>
      </c>
    </row>
    <row r="1985" spans="1:6" x14ac:dyDescent="0.25">
      <c r="A1985">
        <v>15</v>
      </c>
      <c r="B1985">
        <v>9</v>
      </c>
      <c r="C1985" s="26">
        <v>1.8</v>
      </c>
      <c r="D1985" s="26">
        <v>1</v>
      </c>
      <c r="E1985" s="78">
        <v>58</v>
      </c>
      <c r="F1985">
        <f t="shared" si="38"/>
        <v>1.7241379310344827E-2</v>
      </c>
    </row>
    <row r="1986" spans="1:6" x14ac:dyDescent="0.25">
      <c r="A1986">
        <v>15</v>
      </c>
      <c r="B1986">
        <v>9</v>
      </c>
      <c r="C1986" s="26">
        <v>1.8</v>
      </c>
      <c r="D1986" s="26">
        <v>1.5</v>
      </c>
      <c r="E1986" s="78">
        <v>87</v>
      </c>
      <c r="F1986">
        <f t="shared" si="38"/>
        <v>1.7241379310344827E-2</v>
      </c>
    </row>
    <row r="1987" spans="1:6" x14ac:dyDescent="0.25">
      <c r="A1987">
        <v>15</v>
      </c>
      <c r="B1987">
        <v>9</v>
      </c>
      <c r="C1987" s="26">
        <v>1.8</v>
      </c>
      <c r="D1987" s="26">
        <v>2</v>
      </c>
      <c r="E1987" s="78">
        <v>115</v>
      </c>
      <c r="F1987">
        <f t="shared" si="38"/>
        <v>1.7391304347826087E-2</v>
      </c>
    </row>
    <row r="1988" spans="1:6" x14ac:dyDescent="0.25">
      <c r="A1988">
        <v>15</v>
      </c>
      <c r="B1988">
        <v>9</v>
      </c>
      <c r="C1988" s="26">
        <v>1.8</v>
      </c>
      <c r="D1988" s="26">
        <v>2.5</v>
      </c>
      <c r="E1988" s="78">
        <v>144</v>
      </c>
      <c r="F1988">
        <f t="shared" si="38"/>
        <v>1.7361111111111112E-2</v>
      </c>
    </row>
    <row r="1989" spans="1:6" x14ac:dyDescent="0.25">
      <c r="A1989">
        <v>15</v>
      </c>
      <c r="B1989">
        <v>9</v>
      </c>
      <c r="C1989" s="26">
        <v>1.8</v>
      </c>
      <c r="D1989" s="26">
        <v>3</v>
      </c>
      <c r="E1989" s="78">
        <v>173</v>
      </c>
      <c r="F1989">
        <f t="shared" si="38"/>
        <v>1.7341040462427744E-2</v>
      </c>
    </row>
    <row r="1990" spans="1:6" x14ac:dyDescent="0.25">
      <c r="A1990">
        <v>15</v>
      </c>
      <c r="B1990">
        <v>9</v>
      </c>
      <c r="C1990" s="26">
        <v>2</v>
      </c>
      <c r="D1990" s="26">
        <v>0.5</v>
      </c>
      <c r="E1990" s="78">
        <v>30</v>
      </c>
      <c r="F1990">
        <f t="shared" si="38"/>
        <v>1.6666666666666666E-2</v>
      </c>
    </row>
    <row r="1991" spans="1:6" x14ac:dyDescent="0.25">
      <c r="A1991">
        <v>15</v>
      </c>
      <c r="B1991">
        <v>9</v>
      </c>
      <c r="C1991" s="26">
        <v>2</v>
      </c>
      <c r="D1991" s="26">
        <v>1</v>
      </c>
      <c r="E1991" s="78">
        <v>59</v>
      </c>
      <c r="F1991">
        <f t="shared" si="38"/>
        <v>1.6949152542372881E-2</v>
      </c>
    </row>
    <row r="1992" spans="1:6" x14ac:dyDescent="0.25">
      <c r="A1992">
        <v>15</v>
      </c>
      <c r="B1992">
        <v>9</v>
      </c>
      <c r="C1992" s="26">
        <v>2</v>
      </c>
      <c r="D1992" s="26">
        <v>1.5</v>
      </c>
      <c r="E1992" s="78">
        <v>89</v>
      </c>
      <c r="F1992">
        <f t="shared" si="38"/>
        <v>1.6853932584269662E-2</v>
      </c>
    </row>
    <row r="1993" spans="1:6" x14ac:dyDescent="0.25">
      <c r="A1993">
        <v>15</v>
      </c>
      <c r="B1993">
        <v>9</v>
      </c>
      <c r="C1993" s="26">
        <v>2</v>
      </c>
      <c r="D1993" s="26">
        <v>2</v>
      </c>
      <c r="E1993" s="78">
        <v>118</v>
      </c>
      <c r="F1993">
        <f t="shared" si="38"/>
        <v>1.6949152542372881E-2</v>
      </c>
    </row>
    <row r="1994" spans="1:6" x14ac:dyDescent="0.25">
      <c r="A1994">
        <v>15</v>
      </c>
      <c r="B1994">
        <v>9</v>
      </c>
      <c r="C1994" s="26">
        <v>2</v>
      </c>
      <c r="D1994" s="26">
        <v>2.5</v>
      </c>
      <c r="E1994" s="78">
        <v>148</v>
      </c>
      <c r="F1994">
        <f t="shared" si="38"/>
        <v>1.6891891891891893E-2</v>
      </c>
    </row>
    <row r="1995" spans="1:6" x14ac:dyDescent="0.25">
      <c r="A1995">
        <v>15</v>
      </c>
      <c r="B1995">
        <v>9</v>
      </c>
      <c r="C1995" s="26">
        <v>2</v>
      </c>
      <c r="D1995" s="26">
        <v>3</v>
      </c>
      <c r="E1995" s="78">
        <v>177</v>
      </c>
      <c r="F1995">
        <f t="shared" si="38"/>
        <v>1.6949152542372881E-2</v>
      </c>
    </row>
    <row r="1996" spans="1:6" x14ac:dyDescent="0.25">
      <c r="A1996">
        <v>15</v>
      </c>
      <c r="B1996">
        <v>9</v>
      </c>
      <c r="C1996" s="26">
        <v>2.2000000000000002</v>
      </c>
      <c r="D1996" s="26">
        <v>0.5</v>
      </c>
      <c r="E1996" s="78">
        <v>30</v>
      </c>
      <c r="F1996">
        <f t="shared" si="38"/>
        <v>1.6666666666666666E-2</v>
      </c>
    </row>
    <row r="1997" spans="1:6" x14ac:dyDescent="0.25">
      <c r="A1997">
        <v>15</v>
      </c>
      <c r="B1997">
        <v>9</v>
      </c>
      <c r="C1997" s="26">
        <v>2.2000000000000002</v>
      </c>
      <c r="D1997" s="26">
        <v>1</v>
      </c>
      <c r="E1997" s="78">
        <v>60</v>
      </c>
      <c r="F1997">
        <f t="shared" si="38"/>
        <v>1.6666666666666666E-2</v>
      </c>
    </row>
    <row r="1998" spans="1:6" x14ac:dyDescent="0.25">
      <c r="A1998">
        <v>15</v>
      </c>
      <c r="B1998">
        <v>9</v>
      </c>
      <c r="C1998" s="26">
        <v>2.2000000000000002</v>
      </c>
      <c r="D1998" s="26">
        <v>1.5</v>
      </c>
      <c r="E1998" s="78">
        <v>91</v>
      </c>
      <c r="F1998">
        <f t="shared" si="38"/>
        <v>1.6483516483516484E-2</v>
      </c>
    </row>
    <row r="1999" spans="1:6" x14ac:dyDescent="0.25">
      <c r="A1999">
        <v>15</v>
      </c>
      <c r="B1999">
        <v>9</v>
      </c>
      <c r="C1999" s="26">
        <v>2.2000000000000002</v>
      </c>
      <c r="D1999" s="26">
        <v>2</v>
      </c>
      <c r="E1999" s="78">
        <v>121</v>
      </c>
      <c r="F1999">
        <f t="shared" si="38"/>
        <v>1.6528925619834711E-2</v>
      </c>
    </row>
    <row r="2000" spans="1:6" x14ac:dyDescent="0.25">
      <c r="A2000">
        <v>15</v>
      </c>
      <c r="B2000">
        <v>9</v>
      </c>
      <c r="C2000" s="26">
        <v>2.2000000000000002</v>
      </c>
      <c r="D2000" s="26">
        <v>2.5</v>
      </c>
      <c r="E2000" s="78">
        <v>151</v>
      </c>
      <c r="F2000">
        <f t="shared" si="38"/>
        <v>1.6556291390728478E-2</v>
      </c>
    </row>
    <row r="2001" spans="1:6" x14ac:dyDescent="0.25">
      <c r="A2001">
        <v>15</v>
      </c>
      <c r="B2001">
        <v>9</v>
      </c>
      <c r="C2001" s="26">
        <v>2.2000000000000002</v>
      </c>
      <c r="D2001" s="26">
        <v>3</v>
      </c>
      <c r="E2001" s="78">
        <v>181</v>
      </c>
      <c r="F2001">
        <f t="shared" si="38"/>
        <v>1.6574585635359115E-2</v>
      </c>
    </row>
    <row r="2002" spans="1:6" x14ac:dyDescent="0.25">
      <c r="A2002">
        <v>15</v>
      </c>
      <c r="B2002">
        <v>9</v>
      </c>
      <c r="C2002" s="26">
        <v>2.4</v>
      </c>
      <c r="D2002" s="26">
        <v>0.5</v>
      </c>
      <c r="E2002" s="78">
        <v>31</v>
      </c>
      <c r="F2002">
        <f t="shared" si="38"/>
        <v>1.6129032258064516E-2</v>
      </c>
    </row>
    <row r="2003" spans="1:6" x14ac:dyDescent="0.25">
      <c r="A2003">
        <v>15</v>
      </c>
      <c r="B2003">
        <v>9</v>
      </c>
      <c r="C2003" s="26">
        <v>2.4</v>
      </c>
      <c r="D2003" s="26">
        <v>1</v>
      </c>
      <c r="E2003" s="78">
        <v>61</v>
      </c>
      <c r="F2003">
        <f t="shared" si="38"/>
        <v>1.6393442622950821E-2</v>
      </c>
    </row>
    <row r="2004" spans="1:6" x14ac:dyDescent="0.25">
      <c r="A2004">
        <v>15</v>
      </c>
      <c r="B2004">
        <v>9</v>
      </c>
      <c r="C2004" s="26">
        <v>2.4</v>
      </c>
      <c r="D2004" s="26">
        <v>1.5</v>
      </c>
      <c r="E2004" s="78">
        <v>92</v>
      </c>
      <c r="F2004">
        <f t="shared" si="38"/>
        <v>1.6304347826086956E-2</v>
      </c>
    </row>
    <row r="2005" spans="1:6" x14ac:dyDescent="0.25">
      <c r="A2005">
        <v>15</v>
      </c>
      <c r="B2005">
        <v>9</v>
      </c>
      <c r="C2005" s="26">
        <v>2.4</v>
      </c>
      <c r="D2005" s="26">
        <v>2</v>
      </c>
      <c r="E2005" s="78">
        <v>123</v>
      </c>
      <c r="F2005">
        <f t="shared" si="38"/>
        <v>1.6260162601626018E-2</v>
      </c>
    </row>
    <row r="2006" spans="1:6" x14ac:dyDescent="0.25">
      <c r="A2006">
        <v>15</v>
      </c>
      <c r="B2006">
        <v>9</v>
      </c>
      <c r="C2006" s="26">
        <v>2.4</v>
      </c>
      <c r="D2006" s="26">
        <v>2.5</v>
      </c>
      <c r="E2006" s="78">
        <v>153</v>
      </c>
      <c r="F2006">
        <f t="shared" ref="F2006:F2025" si="39">D2006/E2006</f>
        <v>1.6339869281045753E-2</v>
      </c>
    </row>
    <row r="2007" spans="1:6" x14ac:dyDescent="0.25">
      <c r="A2007">
        <v>15</v>
      </c>
      <c r="B2007">
        <v>9</v>
      </c>
      <c r="C2007" s="26">
        <v>2.4</v>
      </c>
      <c r="D2007" s="26">
        <v>3</v>
      </c>
      <c r="E2007" s="78">
        <v>184</v>
      </c>
      <c r="F2007">
        <f t="shared" si="39"/>
        <v>1.6304347826086956E-2</v>
      </c>
    </row>
    <row r="2008" spans="1:6" x14ac:dyDescent="0.25">
      <c r="A2008">
        <v>15</v>
      </c>
      <c r="B2008">
        <v>9</v>
      </c>
      <c r="C2008" s="26">
        <v>2.6</v>
      </c>
      <c r="D2008" s="26">
        <v>0.5</v>
      </c>
      <c r="E2008" s="78">
        <v>31</v>
      </c>
      <c r="F2008">
        <f t="shared" si="39"/>
        <v>1.6129032258064516E-2</v>
      </c>
    </row>
    <row r="2009" spans="1:6" x14ac:dyDescent="0.25">
      <c r="A2009">
        <v>15</v>
      </c>
      <c r="B2009">
        <v>9</v>
      </c>
      <c r="C2009" s="26">
        <v>2.6</v>
      </c>
      <c r="D2009" s="26">
        <v>1</v>
      </c>
      <c r="E2009" s="78">
        <v>63</v>
      </c>
      <c r="F2009">
        <f t="shared" si="39"/>
        <v>1.5873015873015872E-2</v>
      </c>
    </row>
    <row r="2010" spans="1:6" x14ac:dyDescent="0.25">
      <c r="A2010">
        <v>15</v>
      </c>
      <c r="B2010">
        <v>9</v>
      </c>
      <c r="C2010" s="26">
        <v>2.6</v>
      </c>
      <c r="D2010" s="26">
        <v>1.5</v>
      </c>
      <c r="E2010" s="78">
        <v>94</v>
      </c>
      <c r="F2010">
        <f t="shared" si="39"/>
        <v>1.5957446808510637E-2</v>
      </c>
    </row>
    <row r="2011" spans="1:6" x14ac:dyDescent="0.25">
      <c r="A2011">
        <v>15</v>
      </c>
      <c r="B2011">
        <v>9</v>
      </c>
      <c r="C2011" s="26">
        <v>2.6</v>
      </c>
      <c r="D2011" s="26">
        <v>2</v>
      </c>
      <c r="E2011" s="78">
        <v>125</v>
      </c>
      <c r="F2011">
        <f t="shared" si="39"/>
        <v>1.6E-2</v>
      </c>
    </row>
    <row r="2012" spans="1:6" x14ac:dyDescent="0.25">
      <c r="A2012">
        <v>15</v>
      </c>
      <c r="B2012">
        <v>9</v>
      </c>
      <c r="C2012" s="26">
        <v>2.6</v>
      </c>
      <c r="D2012" s="26">
        <v>2.5</v>
      </c>
      <c r="E2012" s="78">
        <v>157</v>
      </c>
      <c r="F2012">
        <f t="shared" si="39"/>
        <v>1.5923566878980892E-2</v>
      </c>
    </row>
    <row r="2013" spans="1:6" x14ac:dyDescent="0.25">
      <c r="A2013">
        <v>15</v>
      </c>
      <c r="B2013">
        <v>9</v>
      </c>
      <c r="C2013" s="26">
        <v>2.6</v>
      </c>
      <c r="D2013" s="26">
        <v>3</v>
      </c>
      <c r="E2013" s="78">
        <v>188</v>
      </c>
      <c r="F2013">
        <f t="shared" si="39"/>
        <v>1.5957446808510637E-2</v>
      </c>
    </row>
    <row r="2014" spans="1:6" x14ac:dyDescent="0.25">
      <c r="A2014">
        <v>15</v>
      </c>
      <c r="B2014">
        <v>9</v>
      </c>
      <c r="C2014" s="26">
        <v>2.8</v>
      </c>
      <c r="D2014" s="26">
        <v>0.5</v>
      </c>
      <c r="E2014" s="78">
        <v>32</v>
      </c>
      <c r="F2014">
        <f t="shared" si="39"/>
        <v>1.5625E-2</v>
      </c>
    </row>
    <row r="2015" spans="1:6" x14ac:dyDescent="0.25">
      <c r="A2015">
        <v>15</v>
      </c>
      <c r="B2015">
        <v>9</v>
      </c>
      <c r="C2015" s="26">
        <v>2.8</v>
      </c>
      <c r="D2015" s="26">
        <v>1</v>
      </c>
      <c r="E2015" s="78">
        <v>64</v>
      </c>
      <c r="F2015">
        <f t="shared" si="39"/>
        <v>1.5625E-2</v>
      </c>
    </row>
    <row r="2016" spans="1:6" x14ac:dyDescent="0.25">
      <c r="A2016">
        <v>15</v>
      </c>
      <c r="B2016">
        <v>9</v>
      </c>
      <c r="C2016" s="26">
        <v>2.8</v>
      </c>
      <c r="D2016" s="26">
        <v>1.5</v>
      </c>
      <c r="E2016" s="78">
        <v>96</v>
      </c>
      <c r="F2016">
        <f t="shared" si="39"/>
        <v>1.5625E-2</v>
      </c>
    </row>
    <row r="2017" spans="1:6" x14ac:dyDescent="0.25">
      <c r="A2017">
        <v>15</v>
      </c>
      <c r="B2017">
        <v>9</v>
      </c>
      <c r="C2017" s="26">
        <v>2.8</v>
      </c>
      <c r="D2017" s="26">
        <v>2</v>
      </c>
      <c r="E2017" s="78">
        <v>127</v>
      </c>
      <c r="F2017">
        <f t="shared" si="39"/>
        <v>1.5748031496062992E-2</v>
      </c>
    </row>
    <row r="2018" spans="1:6" x14ac:dyDescent="0.25">
      <c r="A2018">
        <v>15</v>
      </c>
      <c r="B2018">
        <v>9</v>
      </c>
      <c r="C2018" s="26">
        <v>2.8</v>
      </c>
      <c r="D2018" s="26">
        <v>2.5</v>
      </c>
      <c r="E2018" s="78">
        <v>159</v>
      </c>
      <c r="F2018">
        <f t="shared" si="39"/>
        <v>1.5723270440251572E-2</v>
      </c>
    </row>
    <row r="2019" spans="1:6" x14ac:dyDescent="0.25">
      <c r="A2019">
        <v>15</v>
      </c>
      <c r="B2019">
        <v>9</v>
      </c>
      <c r="C2019" s="26">
        <v>2.8</v>
      </c>
      <c r="D2019" s="26">
        <v>3</v>
      </c>
      <c r="E2019" s="78">
        <v>191</v>
      </c>
      <c r="F2019">
        <f t="shared" si="39"/>
        <v>1.5706806282722512E-2</v>
      </c>
    </row>
    <row r="2020" spans="1:6" x14ac:dyDescent="0.25">
      <c r="A2020">
        <v>15</v>
      </c>
      <c r="B2020">
        <v>9</v>
      </c>
      <c r="C2020" s="26">
        <v>3</v>
      </c>
      <c r="D2020" s="26">
        <v>0.5</v>
      </c>
      <c r="E2020" s="78">
        <v>33</v>
      </c>
      <c r="F2020">
        <f t="shared" si="39"/>
        <v>1.5151515151515152E-2</v>
      </c>
    </row>
    <row r="2021" spans="1:6" x14ac:dyDescent="0.25">
      <c r="A2021">
        <v>15</v>
      </c>
      <c r="B2021">
        <v>9</v>
      </c>
      <c r="C2021" s="26">
        <v>3</v>
      </c>
      <c r="D2021" s="26">
        <v>1</v>
      </c>
      <c r="E2021" s="78">
        <v>65</v>
      </c>
      <c r="F2021">
        <f t="shared" si="39"/>
        <v>1.5384615384615385E-2</v>
      </c>
    </row>
    <row r="2022" spans="1:6" x14ac:dyDescent="0.25">
      <c r="A2022">
        <v>15</v>
      </c>
      <c r="B2022">
        <v>9</v>
      </c>
      <c r="C2022" s="26">
        <v>3</v>
      </c>
      <c r="D2022" s="26">
        <v>1.5</v>
      </c>
      <c r="E2022" s="78">
        <v>98</v>
      </c>
      <c r="F2022">
        <f t="shared" si="39"/>
        <v>1.5306122448979591E-2</v>
      </c>
    </row>
    <row r="2023" spans="1:6" x14ac:dyDescent="0.25">
      <c r="A2023">
        <v>15</v>
      </c>
      <c r="B2023">
        <v>9</v>
      </c>
      <c r="C2023" s="26">
        <v>3</v>
      </c>
      <c r="D2023" s="26">
        <v>2</v>
      </c>
      <c r="E2023" s="78">
        <v>130</v>
      </c>
      <c r="F2023">
        <f t="shared" si="39"/>
        <v>1.5384615384615385E-2</v>
      </c>
    </row>
    <row r="2024" spans="1:6" x14ac:dyDescent="0.25">
      <c r="A2024">
        <v>15</v>
      </c>
      <c r="B2024">
        <v>9</v>
      </c>
      <c r="C2024" s="26">
        <v>3</v>
      </c>
      <c r="D2024" s="26">
        <v>2.5</v>
      </c>
      <c r="E2024" s="78">
        <v>163</v>
      </c>
      <c r="F2024">
        <f t="shared" si="39"/>
        <v>1.5337423312883436E-2</v>
      </c>
    </row>
    <row r="2025" spans="1:6" x14ac:dyDescent="0.25">
      <c r="A2025">
        <v>15</v>
      </c>
      <c r="B2025">
        <v>9</v>
      </c>
      <c r="C2025" s="73">
        <v>3</v>
      </c>
      <c r="D2025" s="73">
        <v>3</v>
      </c>
      <c r="E2025" s="78">
        <v>195</v>
      </c>
      <c r="F2025">
        <f t="shared" si="39"/>
        <v>1.5384615384615385E-2</v>
      </c>
    </row>
    <row r="2027" spans="1:6" x14ac:dyDescent="0.25">
      <c r="A2027">
        <v>20</v>
      </c>
      <c r="B2027">
        <v>9</v>
      </c>
      <c r="C2027" s="26">
        <v>0.4</v>
      </c>
      <c r="D2027" s="26">
        <v>0.5</v>
      </c>
      <c r="E2027" s="78">
        <v>18</v>
      </c>
      <c r="F2027">
        <f t="shared" ref="F2027:F2090" si="40">D2027/E2027</f>
        <v>2.7777777777777776E-2</v>
      </c>
    </row>
    <row r="2028" spans="1:6" x14ac:dyDescent="0.25">
      <c r="A2028">
        <v>20</v>
      </c>
      <c r="B2028">
        <v>9</v>
      </c>
      <c r="C2028" s="26">
        <v>0.4</v>
      </c>
      <c r="D2028" s="26">
        <v>1</v>
      </c>
      <c r="E2028" s="78">
        <v>35</v>
      </c>
      <c r="F2028">
        <f t="shared" si="40"/>
        <v>2.8571428571428571E-2</v>
      </c>
    </row>
    <row r="2029" spans="1:6" x14ac:dyDescent="0.25">
      <c r="A2029">
        <v>20</v>
      </c>
      <c r="B2029">
        <v>9</v>
      </c>
      <c r="C2029" s="26">
        <v>0.4</v>
      </c>
      <c r="D2029" s="26">
        <v>1.5</v>
      </c>
      <c r="E2029" s="78">
        <v>53</v>
      </c>
      <c r="F2029">
        <f t="shared" si="40"/>
        <v>2.8301886792452831E-2</v>
      </c>
    </row>
    <row r="2030" spans="1:6" x14ac:dyDescent="0.25">
      <c r="A2030">
        <v>20</v>
      </c>
      <c r="B2030">
        <v>9</v>
      </c>
      <c r="C2030" s="26">
        <v>0.4</v>
      </c>
      <c r="D2030" s="26">
        <v>2</v>
      </c>
      <c r="E2030" s="78">
        <v>70</v>
      </c>
      <c r="F2030">
        <f t="shared" si="40"/>
        <v>2.8571428571428571E-2</v>
      </c>
    </row>
    <row r="2031" spans="1:6" x14ac:dyDescent="0.25">
      <c r="A2031">
        <v>20</v>
      </c>
      <c r="B2031">
        <v>9</v>
      </c>
      <c r="C2031" s="26">
        <v>0.4</v>
      </c>
      <c r="D2031" s="26">
        <v>2.5</v>
      </c>
      <c r="E2031" s="78">
        <v>88</v>
      </c>
      <c r="F2031">
        <f t="shared" si="40"/>
        <v>2.8409090909090908E-2</v>
      </c>
    </row>
    <row r="2032" spans="1:6" x14ac:dyDescent="0.25">
      <c r="A2032">
        <v>20</v>
      </c>
      <c r="B2032">
        <v>9</v>
      </c>
      <c r="C2032" s="26">
        <v>0.4</v>
      </c>
      <c r="D2032" s="26">
        <v>3</v>
      </c>
      <c r="E2032" s="78">
        <v>105</v>
      </c>
      <c r="F2032">
        <f t="shared" si="40"/>
        <v>2.8571428571428571E-2</v>
      </c>
    </row>
    <row r="2033" spans="1:6" x14ac:dyDescent="0.25">
      <c r="A2033">
        <v>20</v>
      </c>
      <c r="B2033">
        <v>9</v>
      </c>
      <c r="C2033" s="26">
        <v>0.6</v>
      </c>
      <c r="D2033" s="26">
        <v>0.5</v>
      </c>
      <c r="E2033" s="78">
        <v>18</v>
      </c>
      <c r="F2033">
        <f t="shared" si="40"/>
        <v>2.7777777777777776E-2</v>
      </c>
    </row>
    <row r="2034" spans="1:6" x14ac:dyDescent="0.25">
      <c r="A2034">
        <v>20</v>
      </c>
      <c r="B2034">
        <v>9</v>
      </c>
      <c r="C2034" s="26">
        <v>0.6</v>
      </c>
      <c r="D2034" s="26">
        <v>1</v>
      </c>
      <c r="E2034" s="78">
        <v>36</v>
      </c>
      <c r="F2034">
        <f t="shared" si="40"/>
        <v>2.7777777777777776E-2</v>
      </c>
    </row>
    <row r="2035" spans="1:6" x14ac:dyDescent="0.25">
      <c r="A2035">
        <v>20</v>
      </c>
      <c r="B2035">
        <v>9</v>
      </c>
      <c r="C2035" s="26">
        <v>0.6</v>
      </c>
      <c r="D2035" s="26">
        <v>1.5</v>
      </c>
      <c r="E2035" s="78">
        <v>55</v>
      </c>
      <c r="F2035">
        <f t="shared" si="40"/>
        <v>2.7272727272727271E-2</v>
      </c>
    </row>
    <row r="2036" spans="1:6" x14ac:dyDescent="0.25">
      <c r="A2036">
        <v>20</v>
      </c>
      <c r="B2036">
        <v>9</v>
      </c>
      <c r="C2036" s="26">
        <v>0.6</v>
      </c>
      <c r="D2036" s="26">
        <v>2</v>
      </c>
      <c r="E2036" s="78">
        <v>73</v>
      </c>
      <c r="F2036">
        <f t="shared" si="40"/>
        <v>2.7397260273972601E-2</v>
      </c>
    </row>
    <row r="2037" spans="1:6" x14ac:dyDescent="0.25">
      <c r="A2037">
        <v>20</v>
      </c>
      <c r="B2037">
        <v>9</v>
      </c>
      <c r="C2037" s="26">
        <v>0.6</v>
      </c>
      <c r="D2037" s="26">
        <v>2.5</v>
      </c>
      <c r="E2037" s="78">
        <v>91</v>
      </c>
      <c r="F2037">
        <f t="shared" si="40"/>
        <v>2.7472527472527472E-2</v>
      </c>
    </row>
    <row r="2038" spans="1:6" x14ac:dyDescent="0.25">
      <c r="A2038">
        <v>20</v>
      </c>
      <c r="B2038">
        <v>9</v>
      </c>
      <c r="C2038" s="26">
        <v>0.6</v>
      </c>
      <c r="D2038" s="26">
        <v>3</v>
      </c>
      <c r="E2038" s="78">
        <v>109</v>
      </c>
      <c r="F2038">
        <f t="shared" si="40"/>
        <v>2.7522935779816515E-2</v>
      </c>
    </row>
    <row r="2039" spans="1:6" x14ac:dyDescent="0.25">
      <c r="A2039">
        <v>20</v>
      </c>
      <c r="B2039">
        <v>9</v>
      </c>
      <c r="C2039" s="26">
        <v>0.8</v>
      </c>
      <c r="D2039" s="26">
        <v>0.5</v>
      </c>
      <c r="E2039" s="78">
        <v>19</v>
      </c>
      <c r="F2039">
        <f t="shared" si="40"/>
        <v>2.6315789473684209E-2</v>
      </c>
    </row>
    <row r="2040" spans="1:6" x14ac:dyDescent="0.25">
      <c r="A2040">
        <v>20</v>
      </c>
      <c r="B2040">
        <v>9</v>
      </c>
      <c r="C2040" s="26">
        <v>0.8</v>
      </c>
      <c r="D2040" s="26">
        <v>1</v>
      </c>
      <c r="E2040" s="78">
        <v>38</v>
      </c>
      <c r="F2040">
        <f t="shared" si="40"/>
        <v>2.6315789473684209E-2</v>
      </c>
    </row>
    <row r="2041" spans="1:6" x14ac:dyDescent="0.25">
      <c r="A2041">
        <v>20</v>
      </c>
      <c r="B2041">
        <v>9</v>
      </c>
      <c r="C2041" s="26">
        <v>0.8</v>
      </c>
      <c r="D2041" s="26">
        <v>1.5</v>
      </c>
      <c r="E2041" s="78">
        <v>57</v>
      </c>
      <c r="F2041">
        <f t="shared" si="40"/>
        <v>2.6315789473684209E-2</v>
      </c>
    </row>
    <row r="2042" spans="1:6" x14ac:dyDescent="0.25">
      <c r="A2042">
        <v>20</v>
      </c>
      <c r="B2042">
        <v>9</v>
      </c>
      <c r="C2042" s="26">
        <v>0.8</v>
      </c>
      <c r="D2042" s="26">
        <v>2</v>
      </c>
      <c r="E2042" s="78">
        <v>75</v>
      </c>
      <c r="F2042">
        <f t="shared" si="40"/>
        <v>2.6666666666666668E-2</v>
      </c>
    </row>
    <row r="2043" spans="1:6" x14ac:dyDescent="0.25">
      <c r="A2043">
        <v>20</v>
      </c>
      <c r="B2043">
        <v>9</v>
      </c>
      <c r="C2043" s="26">
        <v>0.8</v>
      </c>
      <c r="D2043" s="26">
        <v>2.5</v>
      </c>
      <c r="E2043" s="78">
        <v>94</v>
      </c>
      <c r="F2043">
        <f t="shared" si="40"/>
        <v>2.6595744680851064E-2</v>
      </c>
    </row>
    <row r="2044" spans="1:6" x14ac:dyDescent="0.25">
      <c r="A2044">
        <v>20</v>
      </c>
      <c r="B2044">
        <v>9</v>
      </c>
      <c r="C2044" s="26">
        <v>0.8</v>
      </c>
      <c r="D2044" s="26">
        <v>3</v>
      </c>
      <c r="E2044" s="78">
        <v>113</v>
      </c>
      <c r="F2044">
        <f t="shared" si="40"/>
        <v>2.6548672566371681E-2</v>
      </c>
    </row>
    <row r="2045" spans="1:6" x14ac:dyDescent="0.25">
      <c r="A2045">
        <v>20</v>
      </c>
      <c r="B2045">
        <v>9</v>
      </c>
      <c r="C2045" s="26">
        <v>1</v>
      </c>
      <c r="D2045" s="26">
        <v>0.5</v>
      </c>
      <c r="E2045" s="78">
        <v>20</v>
      </c>
      <c r="F2045">
        <f t="shared" si="40"/>
        <v>2.5000000000000001E-2</v>
      </c>
    </row>
    <row r="2046" spans="1:6" x14ac:dyDescent="0.25">
      <c r="A2046">
        <v>20</v>
      </c>
      <c r="B2046">
        <v>9</v>
      </c>
      <c r="C2046" s="26">
        <v>1</v>
      </c>
      <c r="D2046" s="26">
        <v>1</v>
      </c>
      <c r="E2046" s="78">
        <v>39</v>
      </c>
      <c r="F2046">
        <f t="shared" si="40"/>
        <v>2.564102564102564E-2</v>
      </c>
    </row>
    <row r="2047" spans="1:6" x14ac:dyDescent="0.25">
      <c r="A2047">
        <v>20</v>
      </c>
      <c r="B2047">
        <v>9</v>
      </c>
      <c r="C2047" s="26">
        <v>1</v>
      </c>
      <c r="D2047" s="26">
        <v>1.5</v>
      </c>
      <c r="E2047" s="78">
        <v>59</v>
      </c>
      <c r="F2047">
        <f t="shared" si="40"/>
        <v>2.5423728813559324E-2</v>
      </c>
    </row>
    <row r="2048" spans="1:6" x14ac:dyDescent="0.25">
      <c r="A2048">
        <v>20</v>
      </c>
      <c r="B2048">
        <v>9</v>
      </c>
      <c r="C2048" s="26">
        <v>1</v>
      </c>
      <c r="D2048" s="26">
        <v>2</v>
      </c>
      <c r="E2048" s="78">
        <v>78</v>
      </c>
      <c r="F2048">
        <f t="shared" si="40"/>
        <v>2.564102564102564E-2</v>
      </c>
    </row>
    <row r="2049" spans="1:6" x14ac:dyDescent="0.25">
      <c r="A2049">
        <v>20</v>
      </c>
      <c r="B2049">
        <v>9</v>
      </c>
      <c r="C2049" s="26">
        <v>1</v>
      </c>
      <c r="D2049" s="26">
        <v>2.5</v>
      </c>
      <c r="E2049" s="78">
        <v>98</v>
      </c>
      <c r="F2049">
        <f t="shared" si="40"/>
        <v>2.5510204081632654E-2</v>
      </c>
    </row>
    <row r="2050" spans="1:6" x14ac:dyDescent="0.25">
      <c r="A2050">
        <v>20</v>
      </c>
      <c r="B2050">
        <v>9</v>
      </c>
      <c r="C2050" s="26">
        <v>1</v>
      </c>
      <c r="D2050" s="26">
        <v>3</v>
      </c>
      <c r="E2050" s="78">
        <v>117</v>
      </c>
      <c r="F2050">
        <f t="shared" si="40"/>
        <v>2.564102564102564E-2</v>
      </c>
    </row>
    <row r="2051" spans="1:6" x14ac:dyDescent="0.25">
      <c r="A2051">
        <v>20</v>
      </c>
      <c r="B2051">
        <v>9</v>
      </c>
      <c r="C2051" s="26">
        <v>1.2</v>
      </c>
      <c r="D2051" s="26">
        <v>0.5</v>
      </c>
      <c r="E2051" s="78">
        <v>20</v>
      </c>
      <c r="F2051">
        <f t="shared" si="40"/>
        <v>2.5000000000000001E-2</v>
      </c>
    </row>
    <row r="2052" spans="1:6" x14ac:dyDescent="0.25">
      <c r="A2052">
        <v>20</v>
      </c>
      <c r="B2052">
        <v>9</v>
      </c>
      <c r="C2052" s="26">
        <v>1.2</v>
      </c>
      <c r="D2052" s="26">
        <v>1</v>
      </c>
      <c r="E2052" s="78">
        <v>40</v>
      </c>
      <c r="F2052">
        <f t="shared" si="40"/>
        <v>2.5000000000000001E-2</v>
      </c>
    </row>
    <row r="2053" spans="1:6" x14ac:dyDescent="0.25">
      <c r="A2053">
        <v>20</v>
      </c>
      <c r="B2053">
        <v>9</v>
      </c>
      <c r="C2053" s="26">
        <v>1.2</v>
      </c>
      <c r="D2053" s="26">
        <v>1.5</v>
      </c>
      <c r="E2053" s="78">
        <v>60</v>
      </c>
      <c r="F2053">
        <f t="shared" si="40"/>
        <v>2.5000000000000001E-2</v>
      </c>
    </row>
    <row r="2054" spans="1:6" x14ac:dyDescent="0.25">
      <c r="A2054">
        <v>20</v>
      </c>
      <c r="B2054">
        <v>9</v>
      </c>
      <c r="C2054" s="26">
        <v>1.2</v>
      </c>
      <c r="D2054" s="26">
        <v>2</v>
      </c>
      <c r="E2054" s="78">
        <v>80</v>
      </c>
      <c r="F2054">
        <f t="shared" si="40"/>
        <v>2.5000000000000001E-2</v>
      </c>
    </row>
    <row r="2055" spans="1:6" x14ac:dyDescent="0.25">
      <c r="A2055">
        <v>20</v>
      </c>
      <c r="B2055">
        <v>9</v>
      </c>
      <c r="C2055" s="26">
        <v>1.2</v>
      </c>
      <c r="D2055" s="26">
        <v>2.5</v>
      </c>
      <c r="E2055" s="78">
        <v>100</v>
      </c>
      <c r="F2055">
        <f t="shared" si="40"/>
        <v>2.5000000000000001E-2</v>
      </c>
    </row>
    <row r="2056" spans="1:6" x14ac:dyDescent="0.25">
      <c r="A2056">
        <v>20</v>
      </c>
      <c r="B2056">
        <v>9</v>
      </c>
      <c r="C2056" s="26">
        <v>1.2</v>
      </c>
      <c r="D2056" s="26">
        <v>3</v>
      </c>
      <c r="E2056" s="78">
        <v>120</v>
      </c>
      <c r="F2056">
        <f t="shared" si="40"/>
        <v>2.5000000000000001E-2</v>
      </c>
    </row>
    <row r="2057" spans="1:6" x14ac:dyDescent="0.25">
      <c r="A2057">
        <v>20</v>
      </c>
      <c r="B2057">
        <v>9</v>
      </c>
      <c r="C2057" s="26">
        <v>1.4</v>
      </c>
      <c r="D2057" s="26">
        <v>0.5</v>
      </c>
      <c r="E2057" s="78">
        <v>21</v>
      </c>
      <c r="F2057">
        <f t="shared" si="40"/>
        <v>2.3809523809523808E-2</v>
      </c>
    </row>
    <row r="2058" spans="1:6" x14ac:dyDescent="0.25">
      <c r="A2058">
        <v>20</v>
      </c>
      <c r="B2058">
        <v>9</v>
      </c>
      <c r="C2058" s="26">
        <v>1.4</v>
      </c>
      <c r="D2058" s="26">
        <v>1</v>
      </c>
      <c r="E2058" s="78">
        <v>41</v>
      </c>
      <c r="F2058">
        <f t="shared" si="40"/>
        <v>2.4390243902439025E-2</v>
      </c>
    </row>
    <row r="2059" spans="1:6" x14ac:dyDescent="0.25">
      <c r="A2059">
        <v>20</v>
      </c>
      <c r="B2059">
        <v>9</v>
      </c>
      <c r="C2059" s="26">
        <v>1.4</v>
      </c>
      <c r="D2059" s="26">
        <v>1.5</v>
      </c>
      <c r="E2059" s="78">
        <v>62</v>
      </c>
      <c r="F2059">
        <f t="shared" si="40"/>
        <v>2.4193548387096774E-2</v>
      </c>
    </row>
    <row r="2060" spans="1:6" x14ac:dyDescent="0.25">
      <c r="A2060">
        <v>20</v>
      </c>
      <c r="B2060">
        <v>9</v>
      </c>
      <c r="C2060" s="26">
        <v>1.4</v>
      </c>
      <c r="D2060" s="26">
        <v>2</v>
      </c>
      <c r="E2060" s="78">
        <v>82</v>
      </c>
      <c r="F2060">
        <f t="shared" si="40"/>
        <v>2.4390243902439025E-2</v>
      </c>
    </row>
    <row r="2061" spans="1:6" x14ac:dyDescent="0.25">
      <c r="A2061">
        <v>20</v>
      </c>
      <c r="B2061">
        <v>9</v>
      </c>
      <c r="C2061" s="26">
        <v>1.4</v>
      </c>
      <c r="D2061" s="26">
        <v>2.5</v>
      </c>
      <c r="E2061" s="78">
        <v>103</v>
      </c>
      <c r="F2061">
        <f t="shared" si="40"/>
        <v>2.4271844660194174E-2</v>
      </c>
    </row>
    <row r="2062" spans="1:6" x14ac:dyDescent="0.25">
      <c r="A2062">
        <v>20</v>
      </c>
      <c r="B2062">
        <v>9</v>
      </c>
      <c r="C2062" s="26">
        <v>1.4</v>
      </c>
      <c r="D2062" s="26">
        <v>3</v>
      </c>
      <c r="E2062" s="78">
        <v>123</v>
      </c>
      <c r="F2062">
        <f t="shared" si="40"/>
        <v>2.4390243902439025E-2</v>
      </c>
    </row>
    <row r="2063" spans="1:6" x14ac:dyDescent="0.25">
      <c r="A2063">
        <v>20</v>
      </c>
      <c r="B2063">
        <v>9</v>
      </c>
      <c r="C2063" s="26">
        <v>1.6</v>
      </c>
      <c r="D2063" s="26">
        <v>0.5</v>
      </c>
      <c r="E2063" s="78">
        <v>21</v>
      </c>
      <c r="F2063">
        <f t="shared" si="40"/>
        <v>2.3809523809523808E-2</v>
      </c>
    </row>
    <row r="2064" spans="1:6" x14ac:dyDescent="0.25">
      <c r="A2064">
        <v>20</v>
      </c>
      <c r="B2064">
        <v>9</v>
      </c>
      <c r="C2064" s="26">
        <v>1.6</v>
      </c>
      <c r="D2064" s="26">
        <v>1</v>
      </c>
      <c r="E2064" s="78">
        <v>42</v>
      </c>
      <c r="F2064">
        <f t="shared" si="40"/>
        <v>2.3809523809523808E-2</v>
      </c>
    </row>
    <row r="2065" spans="1:6" x14ac:dyDescent="0.25">
      <c r="A2065">
        <v>20</v>
      </c>
      <c r="B2065">
        <v>9</v>
      </c>
      <c r="C2065" s="26">
        <v>1.6</v>
      </c>
      <c r="D2065" s="26">
        <v>1.5</v>
      </c>
      <c r="E2065" s="78">
        <v>63</v>
      </c>
      <c r="F2065">
        <f t="shared" si="40"/>
        <v>2.3809523809523808E-2</v>
      </c>
    </row>
    <row r="2066" spans="1:6" x14ac:dyDescent="0.25">
      <c r="A2066">
        <v>20</v>
      </c>
      <c r="B2066">
        <v>9</v>
      </c>
      <c r="C2066" s="26">
        <v>1.6</v>
      </c>
      <c r="D2066" s="26">
        <v>2</v>
      </c>
      <c r="E2066" s="78">
        <v>84</v>
      </c>
      <c r="F2066">
        <f t="shared" si="40"/>
        <v>2.3809523809523808E-2</v>
      </c>
    </row>
    <row r="2067" spans="1:6" x14ac:dyDescent="0.25">
      <c r="A2067">
        <v>20</v>
      </c>
      <c r="B2067">
        <v>9</v>
      </c>
      <c r="C2067" s="26">
        <v>1.6</v>
      </c>
      <c r="D2067" s="26">
        <v>2.5</v>
      </c>
      <c r="E2067" s="78">
        <v>105</v>
      </c>
      <c r="F2067">
        <f t="shared" si="40"/>
        <v>2.3809523809523808E-2</v>
      </c>
    </row>
    <row r="2068" spans="1:6" x14ac:dyDescent="0.25">
      <c r="A2068">
        <v>20</v>
      </c>
      <c r="B2068">
        <v>9</v>
      </c>
      <c r="C2068" s="26">
        <v>1.6</v>
      </c>
      <c r="D2068" s="26">
        <v>3</v>
      </c>
      <c r="E2068" s="78">
        <v>126</v>
      </c>
      <c r="F2068">
        <f t="shared" si="40"/>
        <v>2.3809523809523808E-2</v>
      </c>
    </row>
    <row r="2069" spans="1:6" x14ac:dyDescent="0.25">
      <c r="A2069">
        <v>20</v>
      </c>
      <c r="B2069">
        <v>9</v>
      </c>
      <c r="C2069" s="26">
        <v>1.8</v>
      </c>
      <c r="D2069" s="26">
        <v>0.5</v>
      </c>
      <c r="E2069" s="78">
        <v>22</v>
      </c>
      <c r="F2069">
        <f t="shared" si="40"/>
        <v>2.2727272727272728E-2</v>
      </c>
    </row>
    <row r="2070" spans="1:6" x14ac:dyDescent="0.25">
      <c r="A2070">
        <v>20</v>
      </c>
      <c r="B2070">
        <v>9</v>
      </c>
      <c r="C2070" s="26">
        <v>1.8</v>
      </c>
      <c r="D2070" s="26">
        <v>1</v>
      </c>
      <c r="E2070" s="78">
        <v>43</v>
      </c>
      <c r="F2070">
        <f t="shared" si="40"/>
        <v>2.3255813953488372E-2</v>
      </c>
    </row>
    <row r="2071" spans="1:6" x14ac:dyDescent="0.25">
      <c r="A2071">
        <v>20</v>
      </c>
      <c r="B2071">
        <v>9</v>
      </c>
      <c r="C2071" s="26">
        <v>1.8</v>
      </c>
      <c r="D2071" s="26">
        <v>1.5</v>
      </c>
      <c r="E2071" s="78">
        <v>65</v>
      </c>
      <c r="F2071">
        <f t="shared" si="40"/>
        <v>2.3076923076923078E-2</v>
      </c>
    </row>
    <row r="2072" spans="1:6" x14ac:dyDescent="0.25">
      <c r="A2072">
        <v>20</v>
      </c>
      <c r="B2072">
        <v>9</v>
      </c>
      <c r="C2072" s="26">
        <v>1.8</v>
      </c>
      <c r="D2072" s="26">
        <v>2</v>
      </c>
      <c r="E2072" s="78">
        <v>86</v>
      </c>
      <c r="F2072">
        <f t="shared" si="40"/>
        <v>2.3255813953488372E-2</v>
      </c>
    </row>
    <row r="2073" spans="1:6" x14ac:dyDescent="0.25">
      <c r="A2073">
        <v>20</v>
      </c>
      <c r="B2073">
        <v>9</v>
      </c>
      <c r="C2073" s="26">
        <v>1.8</v>
      </c>
      <c r="D2073" s="26">
        <v>2.5</v>
      </c>
      <c r="E2073" s="78">
        <v>108</v>
      </c>
      <c r="F2073">
        <f t="shared" si="40"/>
        <v>2.3148148148148147E-2</v>
      </c>
    </row>
    <row r="2074" spans="1:6" x14ac:dyDescent="0.25">
      <c r="A2074">
        <v>20</v>
      </c>
      <c r="B2074">
        <v>9</v>
      </c>
      <c r="C2074" s="26">
        <v>1.8</v>
      </c>
      <c r="D2074" s="26">
        <v>3</v>
      </c>
      <c r="E2074" s="78">
        <v>129</v>
      </c>
      <c r="F2074">
        <f t="shared" si="40"/>
        <v>2.3255813953488372E-2</v>
      </c>
    </row>
    <row r="2075" spans="1:6" x14ac:dyDescent="0.25">
      <c r="A2075">
        <v>20</v>
      </c>
      <c r="B2075">
        <v>9</v>
      </c>
      <c r="C2075" s="26">
        <v>2</v>
      </c>
      <c r="D2075" s="26">
        <v>0.5</v>
      </c>
      <c r="E2075" s="78">
        <v>22</v>
      </c>
      <c r="F2075">
        <f t="shared" si="40"/>
        <v>2.2727272727272728E-2</v>
      </c>
    </row>
    <row r="2076" spans="1:6" x14ac:dyDescent="0.25">
      <c r="A2076">
        <v>20</v>
      </c>
      <c r="B2076">
        <v>9</v>
      </c>
      <c r="C2076" s="26">
        <v>2</v>
      </c>
      <c r="D2076" s="26">
        <v>1</v>
      </c>
      <c r="E2076" s="78">
        <v>44</v>
      </c>
      <c r="F2076">
        <f t="shared" si="40"/>
        <v>2.2727272727272728E-2</v>
      </c>
    </row>
    <row r="2077" spans="1:6" x14ac:dyDescent="0.25">
      <c r="A2077">
        <v>20</v>
      </c>
      <c r="B2077">
        <v>9</v>
      </c>
      <c r="C2077" s="26">
        <v>2</v>
      </c>
      <c r="D2077" s="26">
        <v>1.5</v>
      </c>
      <c r="E2077" s="78">
        <v>66</v>
      </c>
      <c r="F2077">
        <f t="shared" si="40"/>
        <v>2.2727272727272728E-2</v>
      </c>
    </row>
    <row r="2078" spans="1:6" x14ac:dyDescent="0.25">
      <c r="A2078">
        <v>20</v>
      </c>
      <c r="B2078">
        <v>9</v>
      </c>
      <c r="C2078" s="26">
        <v>2</v>
      </c>
      <c r="D2078" s="26">
        <v>2</v>
      </c>
      <c r="E2078" s="78">
        <v>88</v>
      </c>
      <c r="F2078">
        <f t="shared" si="40"/>
        <v>2.2727272727272728E-2</v>
      </c>
    </row>
    <row r="2079" spans="1:6" x14ac:dyDescent="0.25">
      <c r="A2079">
        <v>20</v>
      </c>
      <c r="B2079">
        <v>9</v>
      </c>
      <c r="C2079" s="26">
        <v>2</v>
      </c>
      <c r="D2079" s="26">
        <v>2.5</v>
      </c>
      <c r="E2079" s="78">
        <v>110</v>
      </c>
      <c r="F2079">
        <f t="shared" si="40"/>
        <v>2.2727272727272728E-2</v>
      </c>
    </row>
    <row r="2080" spans="1:6" x14ac:dyDescent="0.25">
      <c r="A2080">
        <v>20</v>
      </c>
      <c r="B2080">
        <v>9</v>
      </c>
      <c r="C2080" s="26">
        <v>2</v>
      </c>
      <c r="D2080" s="26">
        <v>3</v>
      </c>
      <c r="E2080" s="78">
        <v>132</v>
      </c>
      <c r="F2080">
        <f t="shared" si="40"/>
        <v>2.2727272727272728E-2</v>
      </c>
    </row>
    <row r="2081" spans="1:6" x14ac:dyDescent="0.25">
      <c r="A2081">
        <v>20</v>
      </c>
      <c r="B2081">
        <v>9</v>
      </c>
      <c r="C2081" s="26">
        <v>2.2000000000000002</v>
      </c>
      <c r="D2081" s="26">
        <v>0.5</v>
      </c>
      <c r="E2081" s="78">
        <v>23</v>
      </c>
      <c r="F2081">
        <f t="shared" si="40"/>
        <v>2.1739130434782608E-2</v>
      </c>
    </row>
    <row r="2082" spans="1:6" x14ac:dyDescent="0.25">
      <c r="A2082">
        <v>20</v>
      </c>
      <c r="B2082">
        <v>9</v>
      </c>
      <c r="C2082" s="26">
        <v>2.2000000000000002</v>
      </c>
      <c r="D2082" s="26">
        <v>1</v>
      </c>
      <c r="E2082" s="78">
        <v>45</v>
      </c>
      <c r="F2082">
        <f t="shared" si="40"/>
        <v>2.2222222222222223E-2</v>
      </c>
    </row>
    <row r="2083" spans="1:6" x14ac:dyDescent="0.25">
      <c r="A2083">
        <v>20</v>
      </c>
      <c r="B2083">
        <v>9</v>
      </c>
      <c r="C2083" s="26">
        <v>2.2000000000000002</v>
      </c>
      <c r="D2083" s="26">
        <v>1.5</v>
      </c>
      <c r="E2083" s="78">
        <v>68</v>
      </c>
      <c r="F2083">
        <f t="shared" si="40"/>
        <v>2.2058823529411766E-2</v>
      </c>
    </row>
    <row r="2084" spans="1:6" x14ac:dyDescent="0.25">
      <c r="A2084">
        <v>20</v>
      </c>
      <c r="B2084">
        <v>9</v>
      </c>
      <c r="C2084" s="26">
        <v>2.2000000000000002</v>
      </c>
      <c r="D2084" s="26">
        <v>2</v>
      </c>
      <c r="E2084" s="78">
        <v>90</v>
      </c>
      <c r="F2084">
        <f t="shared" si="40"/>
        <v>2.2222222222222223E-2</v>
      </c>
    </row>
    <row r="2085" spans="1:6" x14ac:dyDescent="0.25">
      <c r="A2085">
        <v>20</v>
      </c>
      <c r="B2085">
        <v>9</v>
      </c>
      <c r="C2085" s="26">
        <v>2.2000000000000002</v>
      </c>
      <c r="D2085" s="26">
        <v>2.5</v>
      </c>
      <c r="E2085" s="78">
        <v>113</v>
      </c>
      <c r="F2085">
        <f t="shared" si="40"/>
        <v>2.2123893805309734E-2</v>
      </c>
    </row>
    <row r="2086" spans="1:6" x14ac:dyDescent="0.25">
      <c r="A2086">
        <v>20</v>
      </c>
      <c r="B2086">
        <v>9</v>
      </c>
      <c r="C2086" s="26">
        <v>2.2000000000000002</v>
      </c>
      <c r="D2086" s="26">
        <v>3</v>
      </c>
      <c r="E2086" s="78">
        <v>135</v>
      </c>
      <c r="F2086">
        <f t="shared" si="40"/>
        <v>2.2222222222222223E-2</v>
      </c>
    </row>
    <row r="2087" spans="1:6" x14ac:dyDescent="0.25">
      <c r="A2087">
        <v>20</v>
      </c>
      <c r="B2087">
        <v>9</v>
      </c>
      <c r="C2087" s="26">
        <v>2.4</v>
      </c>
      <c r="D2087" s="26">
        <v>0.5</v>
      </c>
      <c r="E2087" s="78">
        <v>23</v>
      </c>
      <c r="F2087">
        <f t="shared" si="40"/>
        <v>2.1739130434782608E-2</v>
      </c>
    </row>
    <row r="2088" spans="1:6" x14ac:dyDescent="0.25">
      <c r="A2088">
        <v>20</v>
      </c>
      <c r="B2088">
        <v>9</v>
      </c>
      <c r="C2088" s="26">
        <v>2.4</v>
      </c>
      <c r="D2088" s="26">
        <v>1</v>
      </c>
      <c r="E2088" s="78">
        <v>46</v>
      </c>
      <c r="F2088">
        <f t="shared" si="40"/>
        <v>2.1739130434782608E-2</v>
      </c>
    </row>
    <row r="2089" spans="1:6" x14ac:dyDescent="0.25">
      <c r="A2089">
        <v>20</v>
      </c>
      <c r="B2089">
        <v>9</v>
      </c>
      <c r="C2089" s="26">
        <v>2.4</v>
      </c>
      <c r="D2089" s="26">
        <v>1.5</v>
      </c>
      <c r="E2089" s="78">
        <v>69</v>
      </c>
      <c r="F2089">
        <f t="shared" si="40"/>
        <v>2.1739130434782608E-2</v>
      </c>
    </row>
    <row r="2090" spans="1:6" x14ac:dyDescent="0.25">
      <c r="A2090">
        <v>20</v>
      </c>
      <c r="B2090">
        <v>9</v>
      </c>
      <c r="C2090" s="26">
        <v>2.4</v>
      </c>
      <c r="D2090" s="26">
        <v>2</v>
      </c>
      <c r="E2090" s="78">
        <v>92</v>
      </c>
      <c r="F2090">
        <f t="shared" si="40"/>
        <v>2.1739130434782608E-2</v>
      </c>
    </row>
    <row r="2091" spans="1:6" x14ac:dyDescent="0.25">
      <c r="A2091">
        <v>20</v>
      </c>
      <c r="B2091">
        <v>9</v>
      </c>
      <c r="C2091" s="26">
        <v>2.4</v>
      </c>
      <c r="D2091" s="26">
        <v>2.5</v>
      </c>
      <c r="E2091" s="78">
        <v>115</v>
      </c>
      <c r="F2091">
        <f t="shared" ref="F2091:F2110" si="41">D2091/E2091</f>
        <v>2.1739130434782608E-2</v>
      </c>
    </row>
    <row r="2092" spans="1:6" x14ac:dyDescent="0.25">
      <c r="A2092">
        <v>20</v>
      </c>
      <c r="B2092">
        <v>9</v>
      </c>
      <c r="C2092" s="26">
        <v>2.4</v>
      </c>
      <c r="D2092" s="26">
        <v>3</v>
      </c>
      <c r="E2092" s="78">
        <v>138</v>
      </c>
      <c r="F2092">
        <f t="shared" si="41"/>
        <v>2.1739130434782608E-2</v>
      </c>
    </row>
    <row r="2093" spans="1:6" x14ac:dyDescent="0.25">
      <c r="A2093">
        <v>20</v>
      </c>
      <c r="B2093">
        <v>9</v>
      </c>
      <c r="C2093" s="26">
        <v>2.6</v>
      </c>
      <c r="D2093" s="26">
        <v>0.5</v>
      </c>
      <c r="E2093" s="78">
        <v>24</v>
      </c>
      <c r="F2093">
        <f t="shared" si="41"/>
        <v>2.0833333333333332E-2</v>
      </c>
    </row>
    <row r="2094" spans="1:6" x14ac:dyDescent="0.25">
      <c r="A2094">
        <v>20</v>
      </c>
      <c r="B2094">
        <v>9</v>
      </c>
      <c r="C2094" s="26">
        <v>2.6</v>
      </c>
      <c r="D2094" s="26">
        <v>1</v>
      </c>
      <c r="E2094" s="78">
        <v>47</v>
      </c>
      <c r="F2094">
        <f t="shared" si="41"/>
        <v>2.1276595744680851E-2</v>
      </c>
    </row>
    <row r="2095" spans="1:6" x14ac:dyDescent="0.25">
      <c r="A2095">
        <v>20</v>
      </c>
      <c r="B2095">
        <v>9</v>
      </c>
      <c r="C2095" s="26">
        <v>2.6</v>
      </c>
      <c r="D2095" s="26">
        <v>1.5</v>
      </c>
      <c r="E2095" s="78">
        <v>71</v>
      </c>
      <c r="F2095">
        <f t="shared" si="41"/>
        <v>2.1126760563380281E-2</v>
      </c>
    </row>
    <row r="2096" spans="1:6" x14ac:dyDescent="0.25">
      <c r="A2096">
        <v>20</v>
      </c>
      <c r="B2096">
        <v>9</v>
      </c>
      <c r="C2096" s="26">
        <v>2.6</v>
      </c>
      <c r="D2096" s="26">
        <v>2</v>
      </c>
      <c r="E2096" s="78">
        <v>94</v>
      </c>
      <c r="F2096">
        <f t="shared" si="41"/>
        <v>2.1276595744680851E-2</v>
      </c>
    </row>
    <row r="2097" spans="1:6" x14ac:dyDescent="0.25">
      <c r="A2097">
        <v>20</v>
      </c>
      <c r="B2097">
        <v>9</v>
      </c>
      <c r="C2097" s="26">
        <v>2.6</v>
      </c>
      <c r="D2097" s="26">
        <v>2.5</v>
      </c>
      <c r="E2097" s="78">
        <v>118</v>
      </c>
      <c r="F2097">
        <f t="shared" si="41"/>
        <v>2.1186440677966101E-2</v>
      </c>
    </row>
    <row r="2098" spans="1:6" x14ac:dyDescent="0.25">
      <c r="A2098">
        <v>20</v>
      </c>
      <c r="B2098">
        <v>9</v>
      </c>
      <c r="C2098" s="26">
        <v>2.6</v>
      </c>
      <c r="D2098" s="26">
        <v>3</v>
      </c>
      <c r="E2098" s="78">
        <v>141</v>
      </c>
      <c r="F2098">
        <f t="shared" si="41"/>
        <v>2.1276595744680851E-2</v>
      </c>
    </row>
    <row r="2099" spans="1:6" x14ac:dyDescent="0.25">
      <c r="A2099">
        <v>20</v>
      </c>
      <c r="B2099">
        <v>9</v>
      </c>
      <c r="C2099" s="26">
        <v>2.8</v>
      </c>
      <c r="D2099" s="26">
        <v>0.5</v>
      </c>
      <c r="E2099" s="78">
        <v>24</v>
      </c>
      <c r="F2099">
        <f t="shared" si="41"/>
        <v>2.0833333333333332E-2</v>
      </c>
    </row>
    <row r="2100" spans="1:6" x14ac:dyDescent="0.25">
      <c r="A2100">
        <v>20</v>
      </c>
      <c r="B2100">
        <v>9</v>
      </c>
      <c r="C2100" s="26">
        <v>2.8</v>
      </c>
      <c r="D2100" s="26">
        <v>1</v>
      </c>
      <c r="E2100" s="78">
        <v>48</v>
      </c>
      <c r="F2100">
        <f t="shared" si="41"/>
        <v>2.0833333333333332E-2</v>
      </c>
    </row>
    <row r="2101" spans="1:6" x14ac:dyDescent="0.25">
      <c r="A2101">
        <v>20</v>
      </c>
      <c r="B2101">
        <v>9</v>
      </c>
      <c r="C2101" s="26">
        <v>2.8</v>
      </c>
      <c r="D2101" s="26">
        <v>1.5</v>
      </c>
      <c r="E2101" s="78">
        <v>72</v>
      </c>
      <c r="F2101">
        <f t="shared" si="41"/>
        <v>2.0833333333333332E-2</v>
      </c>
    </row>
    <row r="2102" spans="1:6" x14ac:dyDescent="0.25">
      <c r="A2102">
        <v>20</v>
      </c>
      <c r="B2102">
        <v>9</v>
      </c>
      <c r="C2102" s="26">
        <v>2.8</v>
      </c>
      <c r="D2102" s="26">
        <v>2</v>
      </c>
      <c r="E2102" s="78">
        <v>95</v>
      </c>
      <c r="F2102">
        <f t="shared" si="41"/>
        <v>2.1052631578947368E-2</v>
      </c>
    </row>
    <row r="2103" spans="1:6" x14ac:dyDescent="0.25">
      <c r="A2103">
        <v>20</v>
      </c>
      <c r="B2103">
        <v>9</v>
      </c>
      <c r="C2103" s="26">
        <v>2.8</v>
      </c>
      <c r="D2103" s="26">
        <v>2.5</v>
      </c>
      <c r="E2103" s="78">
        <v>119</v>
      </c>
      <c r="F2103">
        <f t="shared" si="41"/>
        <v>2.100840336134454E-2</v>
      </c>
    </row>
    <row r="2104" spans="1:6" x14ac:dyDescent="0.25">
      <c r="A2104">
        <v>20</v>
      </c>
      <c r="B2104">
        <v>9</v>
      </c>
      <c r="C2104" s="26">
        <v>2.8</v>
      </c>
      <c r="D2104" s="26">
        <v>3</v>
      </c>
      <c r="E2104" s="78">
        <v>143</v>
      </c>
      <c r="F2104">
        <f t="shared" si="41"/>
        <v>2.097902097902098E-2</v>
      </c>
    </row>
    <row r="2105" spans="1:6" x14ac:dyDescent="0.25">
      <c r="A2105">
        <v>20</v>
      </c>
      <c r="B2105">
        <v>9</v>
      </c>
      <c r="C2105" s="26">
        <v>3</v>
      </c>
      <c r="D2105" s="26">
        <v>0.5</v>
      </c>
      <c r="E2105" s="78">
        <v>24</v>
      </c>
      <c r="F2105">
        <f t="shared" si="41"/>
        <v>2.0833333333333332E-2</v>
      </c>
    </row>
    <row r="2106" spans="1:6" x14ac:dyDescent="0.25">
      <c r="A2106">
        <v>20</v>
      </c>
      <c r="B2106">
        <v>9</v>
      </c>
      <c r="C2106" s="26">
        <v>3</v>
      </c>
      <c r="D2106" s="26">
        <v>1</v>
      </c>
      <c r="E2106" s="78">
        <v>49</v>
      </c>
      <c r="F2106">
        <f t="shared" si="41"/>
        <v>2.0408163265306121E-2</v>
      </c>
    </row>
    <row r="2107" spans="1:6" x14ac:dyDescent="0.25">
      <c r="A2107">
        <v>20</v>
      </c>
      <c r="B2107">
        <v>9</v>
      </c>
      <c r="C2107" s="26">
        <v>3</v>
      </c>
      <c r="D2107" s="26">
        <v>1.5</v>
      </c>
      <c r="E2107" s="78">
        <v>73</v>
      </c>
      <c r="F2107">
        <f t="shared" si="41"/>
        <v>2.0547945205479451E-2</v>
      </c>
    </row>
    <row r="2108" spans="1:6" x14ac:dyDescent="0.25">
      <c r="A2108">
        <v>20</v>
      </c>
      <c r="B2108">
        <v>9</v>
      </c>
      <c r="C2108" s="26">
        <v>3</v>
      </c>
      <c r="D2108" s="26">
        <v>2</v>
      </c>
      <c r="E2108" s="78">
        <v>97</v>
      </c>
      <c r="F2108">
        <f t="shared" si="41"/>
        <v>2.0618556701030927E-2</v>
      </c>
    </row>
    <row r="2109" spans="1:6" x14ac:dyDescent="0.25">
      <c r="A2109">
        <v>20</v>
      </c>
      <c r="B2109">
        <v>9</v>
      </c>
      <c r="C2109" s="26">
        <v>3</v>
      </c>
      <c r="D2109" s="26">
        <v>2.5</v>
      </c>
      <c r="E2109" s="78">
        <v>122</v>
      </c>
      <c r="F2109">
        <f t="shared" si="41"/>
        <v>2.0491803278688523E-2</v>
      </c>
    </row>
    <row r="2110" spans="1:6" x14ac:dyDescent="0.25">
      <c r="A2110">
        <v>20</v>
      </c>
      <c r="B2110">
        <v>9</v>
      </c>
      <c r="C2110" s="73">
        <v>3</v>
      </c>
      <c r="D2110" s="73">
        <v>3</v>
      </c>
      <c r="E2110" s="78">
        <v>146</v>
      </c>
      <c r="F2110">
        <f t="shared" si="41"/>
        <v>2.0547945205479451E-2</v>
      </c>
    </row>
  </sheetData>
  <mergeCells count="1">
    <mergeCell ref="T2:X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26"/>
  <sheetViews>
    <sheetView workbookViewId="0">
      <selection activeCell="G10" sqref="G10"/>
    </sheetView>
  </sheetViews>
  <sheetFormatPr defaultRowHeight="15" x14ac:dyDescent="0.25"/>
  <cols>
    <col min="1" max="1" width="13.140625" customWidth="1"/>
    <col min="3" max="3" width="12.28515625" customWidth="1"/>
    <col min="8" max="8" width="11.85546875" customWidth="1"/>
    <col min="257" max="257" width="13.140625" customWidth="1"/>
    <col min="259" max="259" width="12.28515625" customWidth="1"/>
    <col min="264" max="264" width="11.85546875" customWidth="1"/>
    <col min="513" max="513" width="13.140625" customWidth="1"/>
    <col min="515" max="515" width="12.28515625" customWidth="1"/>
    <col min="520" max="520" width="11.85546875" customWidth="1"/>
    <col min="769" max="769" width="13.140625" customWidth="1"/>
    <col min="771" max="771" width="12.28515625" customWidth="1"/>
    <col min="776" max="776" width="11.85546875" customWidth="1"/>
    <col min="1025" max="1025" width="13.140625" customWidth="1"/>
    <col min="1027" max="1027" width="12.28515625" customWidth="1"/>
    <col min="1032" max="1032" width="11.85546875" customWidth="1"/>
    <col min="1281" max="1281" width="13.140625" customWidth="1"/>
    <col min="1283" max="1283" width="12.28515625" customWidth="1"/>
    <col min="1288" max="1288" width="11.85546875" customWidth="1"/>
    <col min="1537" max="1537" width="13.140625" customWidth="1"/>
    <col min="1539" max="1539" width="12.28515625" customWidth="1"/>
    <col min="1544" max="1544" width="11.85546875" customWidth="1"/>
    <col min="1793" max="1793" width="13.140625" customWidth="1"/>
    <col min="1795" max="1795" width="12.28515625" customWidth="1"/>
    <col min="1800" max="1800" width="11.85546875" customWidth="1"/>
    <col min="2049" max="2049" width="13.140625" customWidth="1"/>
    <col min="2051" max="2051" width="12.28515625" customWidth="1"/>
    <col min="2056" max="2056" width="11.85546875" customWidth="1"/>
    <col min="2305" max="2305" width="13.140625" customWidth="1"/>
    <col min="2307" max="2307" width="12.28515625" customWidth="1"/>
    <col min="2312" max="2312" width="11.85546875" customWidth="1"/>
    <col min="2561" max="2561" width="13.140625" customWidth="1"/>
    <col min="2563" max="2563" width="12.28515625" customWidth="1"/>
    <col min="2568" max="2568" width="11.85546875" customWidth="1"/>
    <col min="2817" max="2817" width="13.140625" customWidth="1"/>
    <col min="2819" max="2819" width="12.28515625" customWidth="1"/>
    <col min="2824" max="2824" width="11.85546875" customWidth="1"/>
    <col min="3073" max="3073" width="13.140625" customWidth="1"/>
    <col min="3075" max="3075" width="12.28515625" customWidth="1"/>
    <col min="3080" max="3080" width="11.85546875" customWidth="1"/>
    <col min="3329" max="3329" width="13.140625" customWidth="1"/>
    <col min="3331" max="3331" width="12.28515625" customWidth="1"/>
    <col min="3336" max="3336" width="11.85546875" customWidth="1"/>
    <col min="3585" max="3585" width="13.140625" customWidth="1"/>
    <col min="3587" max="3587" width="12.28515625" customWidth="1"/>
    <col min="3592" max="3592" width="11.85546875" customWidth="1"/>
    <col min="3841" max="3841" width="13.140625" customWidth="1"/>
    <col min="3843" max="3843" width="12.28515625" customWidth="1"/>
    <col min="3848" max="3848" width="11.85546875" customWidth="1"/>
    <col min="4097" max="4097" width="13.140625" customWidth="1"/>
    <col min="4099" max="4099" width="12.28515625" customWidth="1"/>
    <col min="4104" max="4104" width="11.85546875" customWidth="1"/>
    <col min="4353" max="4353" width="13.140625" customWidth="1"/>
    <col min="4355" max="4355" width="12.28515625" customWidth="1"/>
    <col min="4360" max="4360" width="11.85546875" customWidth="1"/>
    <col min="4609" max="4609" width="13.140625" customWidth="1"/>
    <col min="4611" max="4611" width="12.28515625" customWidth="1"/>
    <col min="4616" max="4616" width="11.85546875" customWidth="1"/>
    <col min="4865" max="4865" width="13.140625" customWidth="1"/>
    <col min="4867" max="4867" width="12.28515625" customWidth="1"/>
    <col min="4872" max="4872" width="11.85546875" customWidth="1"/>
    <col min="5121" max="5121" width="13.140625" customWidth="1"/>
    <col min="5123" max="5123" width="12.28515625" customWidth="1"/>
    <col min="5128" max="5128" width="11.85546875" customWidth="1"/>
    <col min="5377" max="5377" width="13.140625" customWidth="1"/>
    <col min="5379" max="5379" width="12.28515625" customWidth="1"/>
    <col min="5384" max="5384" width="11.85546875" customWidth="1"/>
    <col min="5633" max="5633" width="13.140625" customWidth="1"/>
    <col min="5635" max="5635" width="12.28515625" customWidth="1"/>
    <col min="5640" max="5640" width="11.85546875" customWidth="1"/>
    <col min="5889" max="5889" width="13.140625" customWidth="1"/>
    <col min="5891" max="5891" width="12.28515625" customWidth="1"/>
    <col min="5896" max="5896" width="11.85546875" customWidth="1"/>
    <col min="6145" max="6145" width="13.140625" customWidth="1"/>
    <col min="6147" max="6147" width="12.28515625" customWidth="1"/>
    <col min="6152" max="6152" width="11.85546875" customWidth="1"/>
    <col min="6401" max="6401" width="13.140625" customWidth="1"/>
    <col min="6403" max="6403" width="12.28515625" customWidth="1"/>
    <col min="6408" max="6408" width="11.85546875" customWidth="1"/>
    <col min="6657" max="6657" width="13.140625" customWidth="1"/>
    <col min="6659" max="6659" width="12.28515625" customWidth="1"/>
    <col min="6664" max="6664" width="11.85546875" customWidth="1"/>
    <col min="6913" max="6913" width="13.140625" customWidth="1"/>
    <col min="6915" max="6915" width="12.28515625" customWidth="1"/>
    <col min="6920" max="6920" width="11.85546875" customWidth="1"/>
    <col min="7169" max="7169" width="13.140625" customWidth="1"/>
    <col min="7171" max="7171" width="12.28515625" customWidth="1"/>
    <col min="7176" max="7176" width="11.85546875" customWidth="1"/>
    <col min="7425" max="7425" width="13.140625" customWidth="1"/>
    <col min="7427" max="7427" width="12.28515625" customWidth="1"/>
    <col min="7432" max="7432" width="11.85546875" customWidth="1"/>
    <col min="7681" max="7681" width="13.140625" customWidth="1"/>
    <col min="7683" max="7683" width="12.28515625" customWidth="1"/>
    <col min="7688" max="7688" width="11.85546875" customWidth="1"/>
    <col min="7937" max="7937" width="13.140625" customWidth="1"/>
    <col min="7939" max="7939" width="12.28515625" customWidth="1"/>
    <col min="7944" max="7944" width="11.85546875" customWidth="1"/>
    <col min="8193" max="8193" width="13.140625" customWidth="1"/>
    <col min="8195" max="8195" width="12.28515625" customWidth="1"/>
    <col min="8200" max="8200" width="11.85546875" customWidth="1"/>
    <col min="8449" max="8449" width="13.140625" customWidth="1"/>
    <col min="8451" max="8451" width="12.28515625" customWidth="1"/>
    <col min="8456" max="8456" width="11.85546875" customWidth="1"/>
    <col min="8705" max="8705" width="13.140625" customWidth="1"/>
    <col min="8707" max="8707" width="12.28515625" customWidth="1"/>
    <col min="8712" max="8712" width="11.85546875" customWidth="1"/>
    <col min="8961" max="8961" width="13.140625" customWidth="1"/>
    <col min="8963" max="8963" width="12.28515625" customWidth="1"/>
    <col min="8968" max="8968" width="11.85546875" customWidth="1"/>
    <col min="9217" max="9217" width="13.140625" customWidth="1"/>
    <col min="9219" max="9219" width="12.28515625" customWidth="1"/>
    <col min="9224" max="9224" width="11.85546875" customWidth="1"/>
    <col min="9473" max="9473" width="13.140625" customWidth="1"/>
    <col min="9475" max="9475" width="12.28515625" customWidth="1"/>
    <col min="9480" max="9480" width="11.85546875" customWidth="1"/>
    <col min="9729" max="9729" width="13.140625" customWidth="1"/>
    <col min="9731" max="9731" width="12.28515625" customWidth="1"/>
    <col min="9736" max="9736" width="11.85546875" customWidth="1"/>
    <col min="9985" max="9985" width="13.140625" customWidth="1"/>
    <col min="9987" max="9987" width="12.28515625" customWidth="1"/>
    <col min="9992" max="9992" width="11.85546875" customWidth="1"/>
    <col min="10241" max="10241" width="13.140625" customWidth="1"/>
    <col min="10243" max="10243" width="12.28515625" customWidth="1"/>
    <col min="10248" max="10248" width="11.85546875" customWidth="1"/>
    <col min="10497" max="10497" width="13.140625" customWidth="1"/>
    <col min="10499" max="10499" width="12.28515625" customWidth="1"/>
    <col min="10504" max="10504" width="11.85546875" customWidth="1"/>
    <col min="10753" max="10753" width="13.140625" customWidth="1"/>
    <col min="10755" max="10755" width="12.28515625" customWidth="1"/>
    <col min="10760" max="10760" width="11.85546875" customWidth="1"/>
    <col min="11009" max="11009" width="13.140625" customWidth="1"/>
    <col min="11011" max="11011" width="12.28515625" customWidth="1"/>
    <col min="11016" max="11016" width="11.85546875" customWidth="1"/>
    <col min="11265" max="11265" width="13.140625" customWidth="1"/>
    <col min="11267" max="11267" width="12.28515625" customWidth="1"/>
    <col min="11272" max="11272" width="11.85546875" customWidth="1"/>
    <col min="11521" max="11521" width="13.140625" customWidth="1"/>
    <col min="11523" max="11523" width="12.28515625" customWidth="1"/>
    <col min="11528" max="11528" width="11.85546875" customWidth="1"/>
    <col min="11777" max="11777" width="13.140625" customWidth="1"/>
    <col min="11779" max="11779" width="12.28515625" customWidth="1"/>
    <col min="11784" max="11784" width="11.85546875" customWidth="1"/>
    <col min="12033" max="12033" width="13.140625" customWidth="1"/>
    <col min="12035" max="12035" width="12.28515625" customWidth="1"/>
    <col min="12040" max="12040" width="11.85546875" customWidth="1"/>
    <col min="12289" max="12289" width="13.140625" customWidth="1"/>
    <col min="12291" max="12291" width="12.28515625" customWidth="1"/>
    <col min="12296" max="12296" width="11.85546875" customWidth="1"/>
    <col min="12545" max="12545" width="13.140625" customWidth="1"/>
    <col min="12547" max="12547" width="12.28515625" customWidth="1"/>
    <col min="12552" max="12552" width="11.85546875" customWidth="1"/>
    <col min="12801" max="12801" width="13.140625" customWidth="1"/>
    <col min="12803" max="12803" width="12.28515625" customWidth="1"/>
    <col min="12808" max="12808" width="11.85546875" customWidth="1"/>
    <col min="13057" max="13057" width="13.140625" customWidth="1"/>
    <col min="13059" max="13059" width="12.28515625" customWidth="1"/>
    <col min="13064" max="13064" width="11.85546875" customWidth="1"/>
    <col min="13313" max="13313" width="13.140625" customWidth="1"/>
    <col min="13315" max="13315" width="12.28515625" customWidth="1"/>
    <col min="13320" max="13320" width="11.85546875" customWidth="1"/>
    <col min="13569" max="13569" width="13.140625" customWidth="1"/>
    <col min="13571" max="13571" width="12.28515625" customWidth="1"/>
    <col min="13576" max="13576" width="11.85546875" customWidth="1"/>
    <col min="13825" max="13825" width="13.140625" customWidth="1"/>
    <col min="13827" max="13827" width="12.28515625" customWidth="1"/>
    <col min="13832" max="13832" width="11.85546875" customWidth="1"/>
    <col min="14081" max="14081" width="13.140625" customWidth="1"/>
    <col min="14083" max="14083" width="12.28515625" customWidth="1"/>
    <col min="14088" max="14088" width="11.85546875" customWidth="1"/>
    <col min="14337" max="14337" width="13.140625" customWidth="1"/>
    <col min="14339" max="14339" width="12.28515625" customWidth="1"/>
    <col min="14344" max="14344" width="11.85546875" customWidth="1"/>
    <col min="14593" max="14593" width="13.140625" customWidth="1"/>
    <col min="14595" max="14595" width="12.28515625" customWidth="1"/>
    <col min="14600" max="14600" width="11.85546875" customWidth="1"/>
    <col min="14849" max="14849" width="13.140625" customWidth="1"/>
    <col min="14851" max="14851" width="12.28515625" customWidth="1"/>
    <col min="14856" max="14856" width="11.85546875" customWidth="1"/>
    <col min="15105" max="15105" width="13.140625" customWidth="1"/>
    <col min="15107" max="15107" width="12.28515625" customWidth="1"/>
    <col min="15112" max="15112" width="11.85546875" customWidth="1"/>
    <col min="15361" max="15361" width="13.140625" customWidth="1"/>
    <col min="15363" max="15363" width="12.28515625" customWidth="1"/>
    <col min="15368" max="15368" width="11.85546875" customWidth="1"/>
    <col min="15617" max="15617" width="13.140625" customWidth="1"/>
    <col min="15619" max="15619" width="12.28515625" customWidth="1"/>
    <col min="15624" max="15624" width="11.85546875" customWidth="1"/>
    <col min="15873" max="15873" width="13.140625" customWidth="1"/>
    <col min="15875" max="15875" width="12.28515625" customWidth="1"/>
    <col min="15880" max="15880" width="11.85546875" customWidth="1"/>
    <col min="16129" max="16129" width="13.140625" customWidth="1"/>
    <col min="16131" max="16131" width="12.28515625" customWidth="1"/>
    <col min="16136" max="16136" width="11.85546875" customWidth="1"/>
  </cols>
  <sheetData>
    <row r="1" spans="1:9" x14ac:dyDescent="0.25">
      <c r="A1" s="1" t="s">
        <v>17</v>
      </c>
    </row>
    <row r="4" spans="1:9" x14ac:dyDescent="0.25">
      <c r="A4" s="2" t="s">
        <v>12</v>
      </c>
      <c r="H4" s="2" t="s">
        <v>33</v>
      </c>
    </row>
    <row r="5" spans="1:9" ht="25.5" x14ac:dyDescent="0.25">
      <c r="A5" s="16" t="s">
        <v>34</v>
      </c>
      <c r="B5" s="16" t="s">
        <v>23</v>
      </c>
      <c r="C5" s="16" t="s">
        <v>9</v>
      </c>
      <c r="D5" s="16" t="s">
        <v>30</v>
      </c>
      <c r="E5" s="16" t="s">
        <v>25</v>
      </c>
      <c r="H5" s="81" t="s">
        <v>34</v>
      </c>
      <c r="I5" s="81" t="s">
        <v>25</v>
      </c>
    </row>
    <row r="6" spans="1:9" x14ac:dyDescent="0.25">
      <c r="A6" s="82">
        <v>0.5</v>
      </c>
      <c r="B6" s="83" t="s">
        <v>35</v>
      </c>
      <c r="C6" s="82">
        <v>2</v>
      </c>
      <c r="D6" s="82">
        <v>6</v>
      </c>
      <c r="E6" s="82">
        <f>C6/D6</f>
        <v>0.33333333333333331</v>
      </c>
      <c r="H6" s="84">
        <v>0.5</v>
      </c>
      <c r="I6" s="84">
        <f>AVERAGE(E6:E8)</f>
        <v>0.33333333333333331</v>
      </c>
    </row>
    <row r="7" spans="1:9" x14ac:dyDescent="0.25">
      <c r="A7" s="26">
        <v>0.5</v>
      </c>
      <c r="B7" s="85" t="s">
        <v>35</v>
      </c>
      <c r="C7" s="26">
        <v>3</v>
      </c>
      <c r="D7" s="26">
        <v>9</v>
      </c>
      <c r="E7" s="26">
        <f t="shared" ref="E7:E23" si="0">C7/D7</f>
        <v>0.33333333333333331</v>
      </c>
      <c r="H7" s="84">
        <v>5</v>
      </c>
      <c r="I7" s="84">
        <f>AVERAGE(E9:E11)</f>
        <v>0.5</v>
      </c>
    </row>
    <row r="8" spans="1:9" x14ac:dyDescent="0.25">
      <c r="A8" s="73">
        <v>0.5</v>
      </c>
      <c r="B8" s="86" t="s">
        <v>35</v>
      </c>
      <c r="C8" s="73">
        <v>4</v>
      </c>
      <c r="D8" s="73">
        <v>12</v>
      </c>
      <c r="E8" s="73">
        <f t="shared" si="0"/>
        <v>0.33333333333333331</v>
      </c>
      <c r="H8" s="84">
        <v>10</v>
      </c>
      <c r="I8" s="84">
        <f>AVERAGE(E12:E14)</f>
        <v>0.69444444444444431</v>
      </c>
    </row>
    <row r="9" spans="1:9" x14ac:dyDescent="0.25">
      <c r="A9" s="82">
        <v>5</v>
      </c>
      <c r="B9" s="83" t="s">
        <v>35</v>
      </c>
      <c r="C9" s="82">
        <v>2</v>
      </c>
      <c r="D9" s="82">
        <v>4</v>
      </c>
      <c r="E9" s="82">
        <f t="shared" si="0"/>
        <v>0.5</v>
      </c>
      <c r="H9" s="84">
        <v>15</v>
      </c>
      <c r="I9" s="84">
        <f>AVERAGE(E15:E17)</f>
        <v>1</v>
      </c>
    </row>
    <row r="10" spans="1:9" x14ac:dyDescent="0.25">
      <c r="A10" s="26">
        <v>5</v>
      </c>
      <c r="B10" s="85" t="s">
        <v>35</v>
      </c>
      <c r="C10" s="26">
        <v>3</v>
      </c>
      <c r="D10" s="26">
        <v>6</v>
      </c>
      <c r="E10" s="26">
        <f t="shared" si="0"/>
        <v>0.5</v>
      </c>
      <c r="H10" s="84">
        <v>20</v>
      </c>
      <c r="I10" s="84">
        <f>AVERAGE(E18:E20)</f>
        <v>1.6111111111111109</v>
      </c>
    </row>
    <row r="11" spans="1:9" x14ac:dyDescent="0.25">
      <c r="A11" s="73">
        <v>5</v>
      </c>
      <c r="B11" s="86" t="s">
        <v>35</v>
      </c>
      <c r="C11" s="73">
        <v>4</v>
      </c>
      <c r="D11" s="73">
        <v>8</v>
      </c>
      <c r="E11" s="73">
        <f t="shared" si="0"/>
        <v>0.5</v>
      </c>
      <c r="H11" s="84">
        <v>25</v>
      </c>
      <c r="I11" s="84">
        <f>AVERAGE(E21:E23)</f>
        <v>2.3333333333333335</v>
      </c>
    </row>
    <row r="12" spans="1:9" x14ac:dyDescent="0.25">
      <c r="A12" s="82">
        <v>10</v>
      </c>
      <c r="B12" s="83" t="s">
        <v>35</v>
      </c>
      <c r="C12" s="82">
        <v>2</v>
      </c>
      <c r="D12" s="82">
        <v>3</v>
      </c>
      <c r="E12" s="82">
        <f t="shared" si="0"/>
        <v>0.66666666666666663</v>
      </c>
    </row>
    <row r="13" spans="1:9" x14ac:dyDescent="0.25">
      <c r="A13" s="26">
        <v>10</v>
      </c>
      <c r="B13" s="85" t="s">
        <v>35</v>
      </c>
      <c r="C13" s="26">
        <v>3</v>
      </c>
      <c r="D13" s="26">
        <v>4</v>
      </c>
      <c r="E13" s="26">
        <f t="shared" si="0"/>
        <v>0.75</v>
      </c>
    </row>
    <row r="14" spans="1:9" x14ac:dyDescent="0.25">
      <c r="A14" s="73">
        <v>10</v>
      </c>
      <c r="B14" s="86" t="s">
        <v>35</v>
      </c>
      <c r="C14" s="73">
        <v>4</v>
      </c>
      <c r="D14" s="73">
        <v>6</v>
      </c>
      <c r="E14" s="73">
        <f t="shared" si="0"/>
        <v>0.66666666666666663</v>
      </c>
    </row>
    <row r="15" spans="1:9" x14ac:dyDescent="0.25">
      <c r="A15" s="82">
        <v>15</v>
      </c>
      <c r="B15" s="83" t="s">
        <v>35</v>
      </c>
      <c r="C15" s="82">
        <v>2</v>
      </c>
      <c r="D15" s="82">
        <v>2</v>
      </c>
      <c r="E15" s="82">
        <f t="shared" si="0"/>
        <v>1</v>
      </c>
    </row>
    <row r="16" spans="1:9" x14ac:dyDescent="0.25">
      <c r="A16" s="26">
        <v>15</v>
      </c>
      <c r="B16" s="85" t="s">
        <v>35</v>
      </c>
      <c r="C16" s="26">
        <v>3</v>
      </c>
      <c r="D16" s="26">
        <v>3</v>
      </c>
      <c r="E16" s="26">
        <f t="shared" si="0"/>
        <v>1</v>
      </c>
    </row>
    <row r="17" spans="1:5" x14ac:dyDescent="0.25">
      <c r="A17" s="73">
        <v>15</v>
      </c>
      <c r="B17" s="86" t="s">
        <v>35</v>
      </c>
      <c r="C17" s="73">
        <v>4</v>
      </c>
      <c r="D17" s="73">
        <v>4</v>
      </c>
      <c r="E17" s="73">
        <f t="shared" si="0"/>
        <v>1</v>
      </c>
    </row>
    <row r="18" spans="1:5" x14ac:dyDescent="0.25">
      <c r="A18" s="82">
        <v>20</v>
      </c>
      <c r="B18" s="83" t="s">
        <v>35</v>
      </c>
      <c r="C18" s="82">
        <v>2</v>
      </c>
      <c r="D18" s="82">
        <v>1</v>
      </c>
      <c r="E18" s="82">
        <f t="shared" si="0"/>
        <v>2</v>
      </c>
    </row>
    <row r="19" spans="1:5" x14ac:dyDescent="0.25">
      <c r="A19" s="26">
        <v>20</v>
      </c>
      <c r="B19" s="85" t="s">
        <v>35</v>
      </c>
      <c r="C19" s="26">
        <v>3</v>
      </c>
      <c r="D19" s="26">
        <v>2</v>
      </c>
      <c r="E19" s="26">
        <f t="shared" si="0"/>
        <v>1.5</v>
      </c>
    </row>
    <row r="20" spans="1:5" x14ac:dyDescent="0.25">
      <c r="A20" s="73">
        <v>20</v>
      </c>
      <c r="B20" s="86" t="s">
        <v>35</v>
      </c>
      <c r="C20" s="73">
        <v>4</v>
      </c>
      <c r="D20" s="73">
        <v>3</v>
      </c>
      <c r="E20" s="73">
        <f t="shared" si="0"/>
        <v>1.3333333333333333</v>
      </c>
    </row>
    <row r="21" spans="1:5" x14ac:dyDescent="0.25">
      <c r="A21" s="82">
        <v>25</v>
      </c>
      <c r="B21" s="83" t="s">
        <v>35</v>
      </c>
      <c r="C21" s="82">
        <v>2</v>
      </c>
      <c r="D21" s="82">
        <v>1</v>
      </c>
      <c r="E21" s="82">
        <f t="shared" si="0"/>
        <v>2</v>
      </c>
    </row>
    <row r="22" spans="1:5" x14ac:dyDescent="0.25">
      <c r="A22" s="26">
        <v>25</v>
      </c>
      <c r="B22" s="85" t="s">
        <v>35</v>
      </c>
      <c r="C22" s="26">
        <v>3</v>
      </c>
      <c r="D22" s="26">
        <v>1</v>
      </c>
      <c r="E22" s="26">
        <f t="shared" si="0"/>
        <v>3</v>
      </c>
    </row>
    <row r="23" spans="1:5" x14ac:dyDescent="0.25">
      <c r="A23" s="73">
        <v>25</v>
      </c>
      <c r="B23" s="86" t="s">
        <v>35</v>
      </c>
      <c r="C23" s="73">
        <v>4</v>
      </c>
      <c r="D23" s="73">
        <v>2</v>
      </c>
      <c r="E23" s="73">
        <f t="shared" si="0"/>
        <v>2</v>
      </c>
    </row>
    <row r="24" spans="1:5" x14ac:dyDescent="0.25">
      <c r="B24" s="87"/>
    </row>
    <row r="25" spans="1:5" x14ac:dyDescent="0.25">
      <c r="B25" s="87"/>
    </row>
    <row r="26" spans="1:5" x14ac:dyDescent="0.25">
      <c r="B26" s="8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 Input</vt:lpstr>
      <vt:lpstr>Release Notes</vt:lpstr>
      <vt:lpstr>Calculations</vt:lpstr>
      <vt:lpstr>Giardia CT</vt:lpstr>
      <vt:lpstr>Virus CT</vt:lpstr>
    </vt:vector>
  </TitlesOfParts>
  <Company>Stantec Consulting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Kim</dc:creator>
  <cp:lastModifiedBy>CRWTP2</cp:lastModifiedBy>
  <cp:lastPrinted>2011-03-31T16:45:23Z</cp:lastPrinted>
  <dcterms:created xsi:type="dcterms:W3CDTF">2011-02-24T20:57:21Z</dcterms:created>
  <dcterms:modified xsi:type="dcterms:W3CDTF">2011-04-19T12:43:41Z</dcterms:modified>
</cp:coreProperties>
</file>